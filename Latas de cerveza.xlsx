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  <sheet state="visible" name="Latas chicas" sheetId="2" r:id="rId5"/>
    <sheet state="visible" name="Latas grandes" sheetId="3" r:id="rId6"/>
    <sheet state="visible" name="Hoja2" sheetId="4" r:id="rId7"/>
    <sheet state="visible" name="Hoja3" sheetId="5" r:id="rId8"/>
  </sheets>
  <definedNames>
    <definedName name="_xlfn.COUNTIFS">#NAME?</definedName>
  </definedNames>
  <calcPr/>
  <extLst>
    <ext uri="GoogleSheetsCustomDataVersion2">
      <go:sheetsCustomData xmlns:go="http://customooxmlschemas.google.com/" r:id="rId9" roundtripDataChecksum="KwNPFkfuI/JKOWnz2QD3qze8wjcZ8MP0vw0dwXK+LhQ="/>
    </ext>
  </extLst>
</workbook>
</file>

<file path=xl/sharedStrings.xml><?xml version="1.0" encoding="utf-8"?>
<sst xmlns="http://schemas.openxmlformats.org/spreadsheetml/2006/main" count="5722" uniqueCount="851">
  <si>
    <t>Listado de latas de cerveza</t>
  </si>
  <si>
    <t>Marca</t>
  </si>
  <si>
    <t>Modelo</t>
  </si>
  <si>
    <t>Tipo de lata</t>
  </si>
  <si>
    <t>Procedencia</t>
  </si>
  <si>
    <t>Cantidad</t>
  </si>
  <si>
    <t>Subtotales por país</t>
  </si>
  <si>
    <t>3 Horses</t>
  </si>
  <si>
    <t>Alemania</t>
  </si>
  <si>
    <t>5.0 Original</t>
  </si>
  <si>
    <t>Lager</t>
  </si>
  <si>
    <t>Grande</t>
  </si>
  <si>
    <t>AC/DC</t>
  </si>
  <si>
    <t>Bear</t>
  </si>
  <si>
    <t>Strong</t>
  </si>
  <si>
    <t>Xtra Strong (12%)</t>
  </si>
  <si>
    <t>Dark Wheat</t>
  </si>
  <si>
    <t>Stout</t>
  </si>
  <si>
    <t>Becker's</t>
  </si>
  <si>
    <t>Beck's</t>
  </si>
  <si>
    <t>Blue</t>
  </si>
  <si>
    <t>Benediktiner</t>
  </si>
  <si>
    <t>Hell</t>
  </si>
  <si>
    <t>Weissbier</t>
  </si>
  <si>
    <t>Bitburger</t>
  </si>
  <si>
    <t>Radler</t>
  </si>
  <si>
    <t>Radler 0,0%</t>
  </si>
  <si>
    <t>Brauperle</t>
  </si>
  <si>
    <t>Premium Pils</t>
  </si>
  <si>
    <t>Schwarz</t>
  </si>
  <si>
    <t>Clausthaler</t>
  </si>
  <si>
    <t>Non alcoholic</t>
  </si>
  <si>
    <t>Colbitzer</t>
  </si>
  <si>
    <t>Dab</t>
  </si>
  <si>
    <t>150 Years</t>
  </si>
  <si>
    <t>Dark</t>
  </si>
  <si>
    <t>Maibock</t>
  </si>
  <si>
    <t>Darguner</t>
  </si>
  <si>
    <r>
      <rPr>
        <rFont val="Arial"/>
        <color rgb="FF000000"/>
        <sz val="10.0"/>
      </rPr>
      <t>Wei</t>
    </r>
    <r>
      <rPr>
        <rFont val="Symbol"/>
        <color rgb="FF000000"/>
        <sz val="10.0"/>
      </rPr>
      <t>b</t>
    </r>
    <r>
      <rPr>
        <rFont val="Arial"/>
        <color rgb="FF000000"/>
        <sz val="10.0"/>
      </rPr>
      <t>bier</t>
    </r>
  </si>
  <si>
    <t>Pilsener</t>
  </si>
  <si>
    <t>Denninghoff´s</t>
  </si>
  <si>
    <t>Weizen</t>
  </si>
  <si>
    <t>Dinkel Acker</t>
  </si>
  <si>
    <t>Dressler</t>
  </si>
  <si>
    <t>Dark Bier</t>
  </si>
  <si>
    <t>Eichbaum</t>
  </si>
  <si>
    <t>Premium Beer</t>
  </si>
  <si>
    <t>Hefeweizen</t>
  </si>
  <si>
    <t>Red</t>
  </si>
  <si>
    <t>Lager Hell</t>
  </si>
  <si>
    <t>Eku</t>
  </si>
  <si>
    <t>Erdinger</t>
  </si>
  <si>
    <r>
      <rPr>
        <rFont val="Arial"/>
        <color rgb="FF000000"/>
        <sz val="10.0"/>
      </rPr>
      <t>Wei</t>
    </r>
    <r>
      <rPr>
        <rFont val="Symbol"/>
        <color rgb="FF000000"/>
        <sz val="10.0"/>
      </rPr>
      <t>b</t>
    </r>
    <r>
      <rPr>
        <rFont val="Arial"/>
        <color rgb="FF000000"/>
        <sz val="10.0"/>
      </rPr>
      <t>bier</t>
    </r>
  </si>
  <si>
    <t>Alkoholfrei</t>
  </si>
  <si>
    <t>Dunkel</t>
  </si>
  <si>
    <t>Oktoberfest</t>
  </si>
  <si>
    <t>Finkbräu</t>
  </si>
  <si>
    <t>Flensburger</t>
  </si>
  <si>
    <t>Fürstenberg</t>
  </si>
  <si>
    <t>Germania</t>
  </si>
  <si>
    <t>Gerstel Bräu</t>
  </si>
  <si>
    <t>Haake Beck</t>
  </si>
  <si>
    <t>Hacker Pschorr</t>
  </si>
  <si>
    <t>Müncher Gold</t>
  </si>
  <si>
    <t>Hansa</t>
  </si>
  <si>
    <t>Henninger</t>
  </si>
  <si>
    <t>Hofjäger</t>
  </si>
  <si>
    <t>Weinzenbier</t>
  </si>
  <si>
    <t>Holsten</t>
  </si>
  <si>
    <t>Premium</t>
  </si>
  <si>
    <t>Festbock</t>
  </si>
  <si>
    <t>Jever</t>
  </si>
  <si>
    <t>Kaiserdom</t>
  </si>
  <si>
    <t>Grande 1 lt.</t>
  </si>
  <si>
    <t>Kellerbier</t>
  </si>
  <si>
    <r>
      <rPr>
        <rFont val="Arial"/>
        <color rgb="FF000000"/>
        <sz val="10.0"/>
      </rPr>
      <t>Hefe-Wei</t>
    </r>
    <r>
      <rPr>
        <rFont val="Symbol"/>
        <color rgb="FF000000"/>
        <sz val="10.0"/>
      </rPr>
      <t>b</t>
    </r>
    <r>
      <rPr>
        <rFont val="Arial"/>
        <color rgb="FF000000"/>
        <sz val="10.0"/>
      </rPr>
      <t>bier</t>
    </r>
  </si>
  <si>
    <t>World Edition 2018</t>
  </si>
  <si>
    <t>Kapuziner</t>
  </si>
  <si>
    <t>Karlsbrau</t>
  </si>
  <si>
    <t>Urpils</t>
  </si>
  <si>
    <t>1+1</t>
  </si>
  <si>
    <t>König Pilsener</t>
  </si>
  <si>
    <t>Königsbacher</t>
  </si>
  <si>
    <t>Pilsen</t>
  </si>
  <si>
    <t>Schwarzbier</t>
  </si>
  <si>
    <t>Köstritzer</t>
  </si>
  <si>
    <t>Krombacher</t>
  </si>
  <si>
    <t>Licher</t>
  </si>
  <si>
    <t>Löwenbräu</t>
  </si>
  <si>
    <t>LöwenWeisse</t>
  </si>
  <si>
    <t>Mecklenburger</t>
  </si>
  <si>
    <r>
      <rPr>
        <rFont val="Arial"/>
        <color rgb="FF000000"/>
        <sz val="10.0"/>
      </rPr>
      <t>Wei</t>
    </r>
    <r>
      <rPr>
        <rFont val="Symbol"/>
        <color rgb="FF000000"/>
        <sz val="10.0"/>
      </rPr>
      <t>b</t>
    </r>
    <r>
      <rPr>
        <rFont val="Arial"/>
        <color rgb="FF000000"/>
        <sz val="10.0"/>
      </rPr>
      <t>bier</t>
    </r>
  </si>
  <si>
    <t>IPA</t>
  </si>
  <si>
    <t>Mosel Bier</t>
  </si>
  <si>
    <t>Oettinger</t>
  </si>
  <si>
    <t>Export</t>
  </si>
  <si>
    <t>Super Forte</t>
  </si>
  <si>
    <t>Pils</t>
  </si>
  <si>
    <t>Light Lager</t>
  </si>
  <si>
    <t>Paderborner</t>
  </si>
  <si>
    <t>Paulaner</t>
  </si>
  <si>
    <r>
      <rPr>
        <rFont val="Arial"/>
        <color rgb="FF000000"/>
        <sz val="10.0"/>
      </rPr>
      <t>Hefe-Wei</t>
    </r>
    <r>
      <rPr>
        <rFont val="Symbol"/>
        <color rgb="FF000000"/>
        <sz val="10.0"/>
      </rPr>
      <t>b</t>
    </r>
    <r>
      <rPr>
        <rFont val="Arial"/>
        <color rgb="FF000000"/>
        <sz val="10.0"/>
      </rPr>
      <t>bier</t>
    </r>
  </si>
  <si>
    <t>Oktoberfest Bier</t>
  </si>
  <si>
    <t>Perlenbacher</t>
  </si>
  <si>
    <t>Prestige</t>
  </si>
  <si>
    <t>PrinZ</t>
  </si>
  <si>
    <t>Prix</t>
  </si>
  <si>
    <t>Puls</t>
  </si>
  <si>
    <t>Rostocker</t>
  </si>
  <si>
    <t>Royal Club</t>
  </si>
  <si>
    <t>7.0</t>
  </si>
  <si>
    <t>Schöfferhofer</t>
  </si>
  <si>
    <t>Slots</t>
  </si>
  <si>
    <t>Spaten Munchen</t>
  </si>
  <si>
    <t>St. Wendeler</t>
  </si>
  <si>
    <t>Black</t>
  </si>
  <si>
    <t>Steam Brew</t>
  </si>
  <si>
    <t>German Red</t>
  </si>
  <si>
    <t>Streitberg</t>
  </si>
  <si>
    <t>Valentins Weibbier</t>
  </si>
  <si>
    <t>Veltins</t>
  </si>
  <si>
    <t>Waidbauer</t>
  </si>
  <si>
    <t>Warfteiner</t>
  </si>
  <si>
    <t>Weidmann</t>
  </si>
  <si>
    <r>
      <rPr>
        <rFont val="Arial"/>
        <color rgb="FF000000"/>
        <sz val="10.0"/>
      </rPr>
      <t>Hefetr</t>
    </r>
    <r>
      <rPr>
        <rFont val="Calibri"/>
        <color rgb="FF000000"/>
        <sz val="10.0"/>
      </rPr>
      <t>ü</t>
    </r>
    <r>
      <rPr>
        <rFont val="Arial"/>
        <color rgb="FF000000"/>
        <sz val="10.0"/>
      </rPr>
      <t>b</t>
    </r>
  </si>
  <si>
    <t>Pilsner</t>
  </si>
  <si>
    <r>
      <rPr>
        <rFont val="Arial"/>
        <color rgb="FF000000"/>
        <sz val="10.0"/>
      </rPr>
      <t>Wernesgr</t>
    </r>
    <r>
      <rPr>
        <rFont val="Calibri"/>
        <color rgb="FF000000"/>
        <sz val="10.0"/>
      </rPr>
      <t>ü</t>
    </r>
    <r>
      <rPr>
        <rFont val="Arial"/>
        <color rgb="FF000000"/>
        <sz val="10.0"/>
      </rPr>
      <t>ner</t>
    </r>
  </si>
  <si>
    <r>
      <rPr>
        <rFont val="Arial"/>
        <color rgb="FF000000"/>
        <sz val="10.0"/>
      </rPr>
      <t>Wernesgr</t>
    </r>
    <r>
      <rPr>
        <rFont val="Calibri"/>
        <color rgb="FF000000"/>
        <sz val="10.0"/>
      </rPr>
      <t>ü</t>
    </r>
    <r>
      <rPr>
        <rFont val="Arial"/>
        <color rgb="FF000000"/>
        <sz val="10.0"/>
      </rPr>
      <t>ner</t>
    </r>
  </si>
  <si>
    <t>Wolters</t>
  </si>
  <si>
    <t>Zähringer</t>
  </si>
  <si>
    <t>Cuca</t>
  </si>
  <si>
    <t>Angola</t>
  </si>
  <si>
    <t>Argentina</t>
  </si>
  <si>
    <t>Abadía Deleuze</t>
  </si>
  <si>
    <t>Dubbel</t>
  </si>
  <si>
    <t>Andes</t>
  </si>
  <si>
    <t>Rubia</t>
  </si>
  <si>
    <t>Roja</t>
  </si>
  <si>
    <t>Negra</t>
  </si>
  <si>
    <t>IPA Andina (E. L.)</t>
  </si>
  <si>
    <t>Miel</t>
  </si>
  <si>
    <t>Trigueña</t>
  </si>
  <si>
    <t>Criolla (uva)</t>
  </si>
  <si>
    <t>IPA Roja</t>
  </si>
  <si>
    <t>Antares</t>
  </si>
  <si>
    <t>Atlántica</t>
  </si>
  <si>
    <t>Kölsch</t>
  </si>
  <si>
    <t>Scotch</t>
  </si>
  <si>
    <t>Honey Beer</t>
  </si>
  <si>
    <t>Session IPA</t>
  </si>
  <si>
    <t>BarbaRoja</t>
  </si>
  <si>
    <t>Trigo</t>
  </si>
  <si>
    <t>Baum</t>
  </si>
  <si>
    <t>Scottish</t>
  </si>
  <si>
    <t>Witbier</t>
  </si>
  <si>
    <t>Old Ale</t>
  </si>
  <si>
    <t>Porter</t>
  </si>
  <si>
    <t>Beagle</t>
  </si>
  <si>
    <t>APA</t>
  </si>
  <si>
    <t>Glacier Lager</t>
  </si>
  <si>
    <t>Bieckert</t>
  </si>
  <si>
    <t>Costanera Sur</t>
  </si>
  <si>
    <t>BAPA</t>
  </si>
  <si>
    <t>Bierhouse</t>
  </si>
  <si>
    <t>Honey</t>
  </si>
  <si>
    <t>Blest</t>
  </si>
  <si>
    <t>Chachingo</t>
  </si>
  <si>
    <t>Amber</t>
  </si>
  <si>
    <t>Córdoba</t>
  </si>
  <si>
    <t>Diosa Tropical</t>
  </si>
  <si>
    <t>Espiga de Oro</t>
  </si>
  <si>
    <t>Faucaria</t>
  </si>
  <si>
    <t>Scottish Ale</t>
  </si>
  <si>
    <t>Gauther</t>
  </si>
  <si>
    <t>Blond (cerv. de mijo)</t>
  </si>
  <si>
    <t>Ginastera</t>
  </si>
  <si>
    <t>Milk Stout</t>
  </si>
  <si>
    <t>Guten Bier</t>
  </si>
  <si>
    <t>Irish Red Ale</t>
  </si>
  <si>
    <t>Iguana</t>
  </si>
  <si>
    <t>Imperial</t>
  </si>
  <si>
    <t>Cream Stout</t>
  </si>
  <si>
    <t>Ipa</t>
  </si>
  <si>
    <t>Amber Lager</t>
  </si>
  <si>
    <t>Apa</t>
  </si>
  <si>
    <t>Golden</t>
  </si>
  <si>
    <t>Isenbeck</t>
  </si>
  <si>
    <t>Kira Haruki</t>
  </si>
  <si>
    <t>Kolsh</t>
  </si>
  <si>
    <t>La Beriso</t>
  </si>
  <si>
    <t>Scotch Ale</t>
  </si>
  <si>
    <t>La Paloma</t>
  </si>
  <si>
    <t>Amber Ale</t>
  </si>
  <si>
    <t>Cream Ale</t>
  </si>
  <si>
    <t>Ruta 11 (IPA)</t>
  </si>
  <si>
    <t>Liberty</t>
  </si>
  <si>
    <t>Lit</t>
  </si>
  <si>
    <t>Red Ale</t>
  </si>
  <si>
    <t>Michelob</t>
  </si>
  <si>
    <t>Ultra</t>
  </si>
  <si>
    <t>Norte</t>
  </si>
  <si>
    <t>Ogham</t>
  </si>
  <si>
    <t>Ortúzar</t>
  </si>
  <si>
    <t>German Pils</t>
  </si>
  <si>
    <t>Golden Ale</t>
  </si>
  <si>
    <t>Premium Lager</t>
  </si>
  <si>
    <t>Ouro Fino</t>
  </si>
  <si>
    <t>Palermo</t>
  </si>
  <si>
    <t>Pampa</t>
  </si>
  <si>
    <t>Dorada Pampeana</t>
  </si>
  <si>
    <t>Pantano</t>
  </si>
  <si>
    <t>Red Honey</t>
  </si>
  <si>
    <t>Patagonia</t>
  </si>
  <si>
    <t>24.7</t>
  </si>
  <si>
    <t>Octubre Fest</t>
  </si>
  <si>
    <t>Weisse</t>
  </si>
  <si>
    <t>Vera IPA</t>
  </si>
  <si>
    <t>Abrazo de oso</t>
  </si>
  <si>
    <r>
      <rPr>
        <rFont val="Arial"/>
        <color rgb="FF000000"/>
        <sz val="10.0"/>
      </rPr>
      <t>K</t>
    </r>
    <r>
      <rPr>
        <rFont val="Calibri"/>
        <color rgb="FF000000"/>
        <sz val="10.0"/>
      </rPr>
      <t>üné</t>
    </r>
  </si>
  <si>
    <t>Bohemian Pilsener</t>
  </si>
  <si>
    <t>Solcitra</t>
  </si>
  <si>
    <t>Hoppy Lager</t>
  </si>
  <si>
    <t>Sendero Sur</t>
  </si>
  <si>
    <t>Red Lager</t>
  </si>
  <si>
    <t>Black Lager</t>
  </si>
  <si>
    <t>IPA Estelar</t>
  </si>
  <si>
    <t>Travesía sureña</t>
  </si>
  <si>
    <t>Peñón del Águila</t>
  </si>
  <si>
    <t>Kolsch (rubia)</t>
  </si>
  <si>
    <t>Oktoberfest (roja)</t>
  </si>
  <si>
    <t>Honigbier (de miel)</t>
  </si>
  <si>
    <t>Schwarzbier (negra)</t>
  </si>
  <si>
    <t>Dunkelweizen</t>
  </si>
  <si>
    <t>Waldbier</t>
  </si>
  <si>
    <t>Farmhouse Saison</t>
  </si>
  <si>
    <r>
      <rPr>
        <rFont val="Arial"/>
        <color rgb="FF000000"/>
        <sz val="10.0"/>
      </rPr>
      <t>Maracuy</t>
    </r>
    <r>
      <rPr>
        <rFont val="Calibri"/>
        <color rgb="FF000000"/>
        <sz val="10.0"/>
      </rPr>
      <t>á</t>
    </r>
    <r>
      <rPr>
        <rFont val="Arial"/>
        <color rgb="FF000000"/>
        <sz val="10.0"/>
      </rPr>
      <t xml:space="preserve"> Sour</t>
    </r>
  </si>
  <si>
    <t>Mexican Lager</t>
  </si>
  <si>
    <t>Arándano Sour</t>
  </si>
  <si>
    <t>Peñón del Águila &amp; Crafter</t>
  </si>
  <si>
    <t>Cacao Ipa</t>
  </si>
  <si>
    <t>Gose Sandia Limada</t>
  </si>
  <si>
    <t>Postanak</t>
  </si>
  <si>
    <t>Quilmes</t>
  </si>
  <si>
    <t>Bock</t>
  </si>
  <si>
    <t>Ligth</t>
  </si>
  <si>
    <t>Lieber</t>
  </si>
  <si>
    <t>River Plate</t>
  </si>
  <si>
    <t>0.0%</t>
  </si>
  <si>
    <t>Doble  Malta</t>
  </si>
  <si>
    <t>Campeones 2022</t>
  </si>
  <si>
    <t>San Martín de Tuc.</t>
  </si>
  <si>
    <t>Hay equipo</t>
  </si>
  <si>
    <t>Rabieta</t>
  </si>
  <si>
    <t>Irish</t>
  </si>
  <si>
    <t>Red IPA</t>
  </si>
  <si>
    <t>Heavy</t>
  </si>
  <si>
    <t>Salta</t>
  </si>
  <si>
    <t>Salta Cautiva</t>
  </si>
  <si>
    <t>Blend (IPA-Trigo)</t>
  </si>
  <si>
    <t>Santa Fe</t>
  </si>
  <si>
    <t>Schneider</t>
  </si>
  <si>
    <t>Lager (Messi)</t>
  </si>
  <si>
    <t>Siete Cholas</t>
  </si>
  <si>
    <t>Blonde Ale</t>
  </si>
  <si>
    <t>Temple</t>
  </si>
  <si>
    <t>The Mula</t>
  </si>
  <si>
    <t>Doble Ipa</t>
  </si>
  <si>
    <t>Honey Ale</t>
  </si>
  <si>
    <t>Única CARP</t>
  </si>
  <si>
    <t>Única 9-12</t>
  </si>
  <si>
    <t>Única AFA</t>
  </si>
  <si>
    <t>Un tal René</t>
  </si>
  <si>
    <t>Scottish Export</t>
  </si>
  <si>
    <t>Van Titter</t>
  </si>
  <si>
    <t>Gold Fassl</t>
  </si>
  <si>
    <t>Austria</t>
  </si>
  <si>
    <t>Gösser</t>
  </si>
  <si>
    <t>Ottokringer</t>
  </si>
  <si>
    <t>Puntigamer</t>
  </si>
  <si>
    <t>Schwechater</t>
  </si>
  <si>
    <t>Sonnen Bräu</t>
  </si>
  <si>
    <t>Damburger</t>
  </si>
  <si>
    <t>Gold</t>
  </si>
  <si>
    <t>Bélgica</t>
  </si>
  <si>
    <t>Gordon</t>
  </si>
  <si>
    <t>Chrome</t>
  </si>
  <si>
    <t>Titanium</t>
  </si>
  <si>
    <t>Tequila Flavoured</t>
  </si>
  <si>
    <t>Red Fruit</t>
  </si>
  <si>
    <t>Helbrau</t>
  </si>
  <si>
    <t>Hoegaarden</t>
  </si>
  <si>
    <t>Rosée</t>
  </si>
  <si>
    <t>Keyport</t>
  </si>
  <si>
    <t>Leffe</t>
  </si>
  <si>
    <t>Ruby</t>
  </si>
  <si>
    <t>Martens</t>
  </si>
  <si>
    <t>Witte</t>
  </si>
  <si>
    <t>3.5</t>
  </si>
  <si>
    <t>Pax</t>
  </si>
  <si>
    <t>Stella Artois</t>
  </si>
  <si>
    <t>Noire</t>
  </si>
  <si>
    <t>Báltica Dry</t>
  </si>
  <si>
    <t>Bolivia</t>
  </si>
  <si>
    <t>Cordillera</t>
  </si>
  <si>
    <t>Ducal</t>
  </si>
  <si>
    <t>El Inca</t>
  </si>
  <si>
    <t>Paceña</t>
  </si>
  <si>
    <t>Centenario</t>
  </si>
  <si>
    <t>Ice</t>
  </si>
  <si>
    <t>Potosina</t>
  </si>
  <si>
    <t>Real</t>
  </si>
  <si>
    <t>Brasil</t>
  </si>
  <si>
    <t>A outra</t>
  </si>
  <si>
    <t>Antarctica</t>
  </si>
  <si>
    <t>Festa</t>
  </si>
  <si>
    <t>Original</t>
  </si>
  <si>
    <t>Subzero</t>
  </si>
  <si>
    <t>Baden Baden</t>
  </si>
  <si>
    <t>Cristal</t>
  </si>
  <si>
    <t>Baly</t>
  </si>
  <si>
    <t>Bamboa</t>
  </si>
  <si>
    <t>Bavaria</t>
  </si>
  <si>
    <t>Sem alcool</t>
  </si>
  <si>
    <t>Belco</t>
  </si>
  <si>
    <t>Bellavista</t>
  </si>
  <si>
    <t>Bierland</t>
  </si>
  <si>
    <t>Vienna</t>
  </si>
  <si>
    <t>Bohemia</t>
  </si>
  <si>
    <t>Escura</t>
  </si>
  <si>
    <t>Bonanza</t>
  </si>
  <si>
    <t>Brahma</t>
  </si>
  <si>
    <t>Extra</t>
  </si>
  <si>
    <t>Fresh</t>
  </si>
  <si>
    <t>Malzbier</t>
  </si>
  <si>
    <t>Colección histórica</t>
  </si>
  <si>
    <t>Duplo Malte</t>
  </si>
  <si>
    <t>Brasileira</t>
  </si>
  <si>
    <t>Burguesa</t>
  </si>
  <si>
    <t>Caracu</t>
  </si>
  <si>
    <t>Cabaré</t>
  </si>
  <si>
    <t>Catarina</t>
  </si>
  <si>
    <t>Cerpa</t>
  </si>
  <si>
    <t>Cintra</t>
  </si>
  <si>
    <t>Colonia</t>
  </si>
  <si>
    <t>Colorado</t>
  </si>
  <si>
    <t>Ribeirao Lager</t>
  </si>
  <si>
    <t>Appia</t>
  </si>
  <si>
    <t>Conti</t>
  </si>
  <si>
    <t>Zero Grau</t>
  </si>
  <si>
    <t>Coruja</t>
  </si>
  <si>
    <t>Crystal</t>
  </si>
  <si>
    <t>Dadobier</t>
  </si>
  <si>
    <t>Weiss</t>
  </si>
  <si>
    <t>Desperados</t>
  </si>
  <si>
    <t>Devassa</t>
  </si>
  <si>
    <t>One</t>
  </si>
  <si>
    <t>Playboy</t>
  </si>
  <si>
    <t>Ecobier</t>
  </si>
  <si>
    <t>Chopp</t>
  </si>
  <si>
    <t>Eisenbahn</t>
  </si>
  <si>
    <t>American IPA</t>
  </si>
  <si>
    <t>Germania 55</t>
  </si>
  <si>
    <t>Germania 56</t>
  </si>
  <si>
    <t>Glacial</t>
  </si>
  <si>
    <t>Imigraçao</t>
  </si>
  <si>
    <t>1824 - Pilsen</t>
  </si>
  <si>
    <t>Imperio</t>
  </si>
  <si>
    <t>Itaipava</t>
  </si>
  <si>
    <t>3+1</t>
  </si>
  <si>
    <t>Kaiser</t>
  </si>
  <si>
    <t>Kalena</t>
  </si>
  <si>
    <t>Kilsen</t>
  </si>
  <si>
    <t>Kirin Ichiban</t>
  </si>
  <si>
    <t>Krill</t>
  </si>
  <si>
    <t>Lagunitas</t>
  </si>
  <si>
    <t>Lecker</t>
  </si>
  <si>
    <t>Liber</t>
  </si>
  <si>
    <t>Liverpool</t>
  </si>
  <si>
    <t>Lokal</t>
  </si>
  <si>
    <t>Malta</t>
  </si>
  <si>
    <t>C. Malzbier</t>
  </si>
  <si>
    <t>C. Pilsen</t>
  </si>
  <si>
    <t>Mané</t>
  </si>
  <si>
    <t>Maniacs</t>
  </si>
  <si>
    <t>Merecida</t>
  </si>
  <si>
    <t>Opa Bier</t>
  </si>
  <si>
    <t>Pale Ale</t>
  </si>
  <si>
    <t>German Lager</t>
  </si>
  <si>
    <t>Petra</t>
  </si>
  <si>
    <t>Escura Premium</t>
  </si>
  <si>
    <t>Puro Malte</t>
  </si>
  <si>
    <t>Piler</t>
  </si>
  <si>
    <t>Pilsen Zero</t>
  </si>
  <si>
    <t>Malzbier Zero</t>
  </si>
  <si>
    <t>Polar</t>
  </si>
  <si>
    <t>Primus</t>
  </si>
  <si>
    <t>Proibida</t>
  </si>
  <si>
    <t>Leve</t>
  </si>
  <si>
    <t>Mulher</t>
  </si>
  <si>
    <t>Provincia</t>
  </si>
  <si>
    <t>Ruleta rusa</t>
  </si>
  <si>
    <t>Salzburg</t>
  </si>
  <si>
    <t>Schincariol</t>
  </si>
  <si>
    <t>Schin</t>
  </si>
  <si>
    <t>Nova</t>
  </si>
  <si>
    <t>No Grau</t>
  </si>
  <si>
    <t>Munich</t>
  </si>
  <si>
    <t>Ouro</t>
  </si>
  <si>
    <t>Schornstein</t>
  </si>
  <si>
    <t>Selki</t>
  </si>
  <si>
    <t>Serramalte</t>
  </si>
  <si>
    <t>Serrana</t>
  </si>
  <si>
    <t>Skol</t>
  </si>
  <si>
    <t>??</t>
  </si>
  <si>
    <t>Hops</t>
  </si>
  <si>
    <t>Beats</t>
  </si>
  <si>
    <t>360°</t>
  </si>
  <si>
    <t>Sol</t>
  </si>
  <si>
    <t>Soul</t>
  </si>
  <si>
    <t>Spoller</t>
  </si>
  <si>
    <t>Stell</t>
  </si>
  <si>
    <t>Summer Draft</t>
  </si>
  <si>
    <t>Therezópolis</t>
  </si>
  <si>
    <t>Tiger</t>
  </si>
  <si>
    <t>Tupiniquim</t>
  </si>
  <si>
    <t>Weiss Cristal</t>
  </si>
  <si>
    <t>Blond Ale</t>
  </si>
  <si>
    <t>Premium Pale Ale</t>
  </si>
  <si>
    <t>Summer Ipa</t>
  </si>
  <si>
    <t>Wienbier 57</t>
  </si>
  <si>
    <t>Wienbier 58</t>
  </si>
  <si>
    <t>Wienbier 59</t>
  </si>
  <si>
    <t>Xingu</t>
  </si>
  <si>
    <t>Yllhs (Yellow Hops)</t>
  </si>
  <si>
    <t>Ego</t>
  </si>
  <si>
    <t>Cabo Verde</t>
  </si>
  <si>
    <t>Labatt</t>
  </si>
  <si>
    <t>Canadá</t>
  </si>
  <si>
    <t>Austral</t>
  </si>
  <si>
    <t>Chile</t>
  </si>
  <si>
    <t>Becker</t>
  </si>
  <si>
    <t>Blackbeer</t>
  </si>
  <si>
    <t>Coors</t>
  </si>
  <si>
    <t>Cero</t>
  </si>
  <si>
    <t>Light</t>
  </si>
  <si>
    <t>Dorada</t>
  </si>
  <si>
    <t>Escudo</t>
  </si>
  <si>
    <t>Triple X</t>
  </si>
  <si>
    <t>Kunstmann</t>
  </si>
  <si>
    <t>Torobayo</t>
  </si>
  <si>
    <t>Sin alcohol</t>
  </si>
  <si>
    <t>Valdivia Pale Lager</t>
  </si>
  <si>
    <t>Mestra</t>
  </si>
  <si>
    <t>Lager Pils</t>
  </si>
  <si>
    <t>Odissea</t>
  </si>
  <si>
    <t>Hoppy Ale</t>
  </si>
  <si>
    <t>Royal Guard</t>
  </si>
  <si>
    <t>Red Horse</t>
  </si>
  <si>
    <t>China</t>
  </si>
  <si>
    <t>Tsingtao</t>
  </si>
  <si>
    <t>Águila</t>
  </si>
  <si>
    <t>Colombia</t>
  </si>
  <si>
    <t>Club Colombia</t>
  </si>
  <si>
    <t>Redd´s</t>
  </si>
  <si>
    <t>Black Beer</t>
  </si>
  <si>
    <t>Corea del Sur</t>
  </si>
  <si>
    <t>Hite</t>
  </si>
  <si>
    <t>Max</t>
  </si>
  <si>
    <t>Fitz</t>
  </si>
  <si>
    <t>Kloud</t>
  </si>
  <si>
    <t>Costa Rica</t>
  </si>
  <si>
    <t>Frost</t>
  </si>
  <si>
    <t>Rock Ice</t>
  </si>
  <si>
    <t>Silver</t>
  </si>
  <si>
    <t>Ožujsko</t>
  </si>
  <si>
    <t>Croacia</t>
  </si>
  <si>
    <t>Staročeško</t>
  </si>
  <si>
    <t>Carlsberg</t>
  </si>
  <si>
    <t>Dinamarca</t>
  </si>
  <si>
    <t>Ceres</t>
  </si>
  <si>
    <r>
      <rPr>
        <rFont val="Calibri"/>
        <color rgb="FF000000"/>
        <sz val="10.0"/>
      </rPr>
      <t>Ø</t>
    </r>
    <r>
      <rPr>
        <rFont val="Arial"/>
        <color rgb="FF000000"/>
        <sz val="10.0"/>
      </rPr>
      <t>kologisk</t>
    </r>
  </si>
  <si>
    <t>Strong Ale</t>
  </si>
  <si>
    <t>Mosaic IPA</t>
  </si>
  <si>
    <t>Faxe</t>
  </si>
  <si>
    <t>Royal</t>
  </si>
  <si>
    <t>Giraf</t>
  </si>
  <si>
    <t>Harboe</t>
  </si>
  <si>
    <t>Pilsner 4.6%</t>
  </si>
  <si>
    <t>Extra Strong</t>
  </si>
  <si>
    <t>Pilsner 5.0%</t>
  </si>
  <si>
    <t>Top</t>
  </si>
  <si>
    <t>Extra Lager</t>
  </si>
  <si>
    <t>Tuborg</t>
  </si>
  <si>
    <t>Pure gold</t>
  </si>
  <si>
    <t>12 Horses</t>
  </si>
  <si>
    <t>E.E.U.U.</t>
  </si>
  <si>
    <t>ABC</t>
  </si>
  <si>
    <t>All Day Ipa</t>
  </si>
  <si>
    <t>American</t>
  </si>
  <si>
    <t>Báltica</t>
  </si>
  <si>
    <t>Blatz</t>
  </si>
  <si>
    <t>Blue Moon</t>
  </si>
  <si>
    <t>Belgian White</t>
  </si>
  <si>
    <t>Buckhead</t>
  </si>
  <si>
    <t>Budweiser</t>
  </si>
  <si>
    <t>Lolapalooza</t>
  </si>
  <si>
    <t>Messi</t>
  </si>
  <si>
    <t>Classic Draft</t>
  </si>
  <si>
    <t>Cook's</t>
  </si>
  <si>
    <t>Genesee</t>
  </si>
  <si>
    <t>Goebel</t>
  </si>
  <si>
    <t>Goose Island</t>
  </si>
  <si>
    <t>Hamm's</t>
  </si>
  <si>
    <t>IC</t>
  </si>
  <si>
    <t>Iron City</t>
  </si>
  <si>
    <t>Kronenblek</t>
  </si>
  <si>
    <t>Lone Star</t>
  </si>
  <si>
    <t>Master's Choice</t>
  </si>
  <si>
    <t>Matt's</t>
  </si>
  <si>
    <t>Miller</t>
  </si>
  <si>
    <t>Lite</t>
  </si>
  <si>
    <t>Milwaukee 1851</t>
  </si>
  <si>
    <t>Milwaukee's</t>
  </si>
  <si>
    <t>Best ice</t>
  </si>
  <si>
    <t>Best premium</t>
  </si>
  <si>
    <t>O'doul's</t>
  </si>
  <si>
    <t>Old Milwaukee</t>
  </si>
  <si>
    <t>Old Style</t>
  </si>
  <si>
    <t>Pabst Blue Ribbon</t>
  </si>
  <si>
    <t>Piels</t>
  </si>
  <si>
    <t>Red Dog</t>
  </si>
  <si>
    <t>Red, White &amp; Blue</t>
  </si>
  <si>
    <t>Rheingold</t>
  </si>
  <si>
    <t>Schlitz</t>
  </si>
  <si>
    <t>Schmidt's</t>
  </si>
  <si>
    <t>Sixpoint</t>
  </si>
  <si>
    <t>Resin</t>
  </si>
  <si>
    <t>Sweet action</t>
  </si>
  <si>
    <t>The crisp</t>
  </si>
  <si>
    <t>Stroh's</t>
  </si>
  <si>
    <t>Wiedemann</t>
  </si>
  <si>
    <t>Zing</t>
  </si>
  <si>
    <t>Belhaven</t>
  </si>
  <si>
    <t>Ale</t>
  </si>
  <si>
    <t>Escocia</t>
  </si>
  <si>
    <t>Innis &amp; Gunn</t>
  </si>
  <si>
    <t>Tennent´s</t>
  </si>
  <si>
    <t>Super</t>
  </si>
  <si>
    <t>Urpiner</t>
  </si>
  <si>
    <t>Eslovaquia</t>
  </si>
  <si>
    <t>Zlatý Bažant</t>
  </si>
  <si>
    <t>Laško</t>
  </si>
  <si>
    <t>Golding</t>
  </si>
  <si>
    <t>Eslovenia</t>
  </si>
  <si>
    <t>Union</t>
  </si>
  <si>
    <t>Viktor</t>
  </si>
  <si>
    <t>Williambrau</t>
  </si>
  <si>
    <t>Superforte 8,3</t>
  </si>
  <si>
    <t>1906 Reserva Especial</t>
  </si>
  <si>
    <t>España</t>
  </si>
  <si>
    <t>Adlerbrau</t>
  </si>
  <si>
    <t>Alhambra</t>
  </si>
  <si>
    <t>Tradicional</t>
  </si>
  <si>
    <t>Especial</t>
  </si>
  <si>
    <t>Ambar</t>
  </si>
  <si>
    <t>Ambar Export</t>
  </si>
  <si>
    <t>Bock Damm</t>
  </si>
  <si>
    <t>Negra Munich</t>
  </si>
  <si>
    <t>Cruzcampo</t>
  </si>
  <si>
    <t>Gran Reserva</t>
  </si>
  <si>
    <t>El Águila Negra</t>
  </si>
  <si>
    <t>El Alcázar</t>
  </si>
  <si>
    <t>El León</t>
  </si>
  <si>
    <t>Clásica</t>
  </si>
  <si>
    <t>Estrella del Sur</t>
  </si>
  <si>
    <t>Estrella Damm</t>
  </si>
  <si>
    <t>Estrella de Levante</t>
  </si>
  <si>
    <t>Estrella Galicia</t>
  </si>
  <si>
    <t>Keler</t>
  </si>
  <si>
    <t>Donostia 1872</t>
  </si>
  <si>
    <t>Landvik</t>
  </si>
  <si>
    <t>Mahou</t>
  </si>
  <si>
    <t>Maestra</t>
  </si>
  <si>
    <t>Molen Bier</t>
  </si>
  <si>
    <t>Moritz</t>
  </si>
  <si>
    <t>San Miguel</t>
  </si>
  <si>
    <t>Victoria Málaga</t>
  </si>
  <si>
    <t>Voll-Damm</t>
  </si>
  <si>
    <t>Doble Malta</t>
  </si>
  <si>
    <t>Xibeca</t>
  </si>
  <si>
    <t>Filipinas</t>
  </si>
  <si>
    <t>Lapin Kulta</t>
  </si>
  <si>
    <t>Finlandia</t>
  </si>
  <si>
    <t>"33" Export</t>
  </si>
  <si>
    <t>Francia</t>
  </si>
  <si>
    <t>Abbaye du Lys</t>
  </si>
  <si>
    <t>Adelscott</t>
  </si>
  <si>
    <t>Argus</t>
  </si>
  <si>
    <t>Belzebuth</t>
  </si>
  <si>
    <t>Boris</t>
  </si>
  <si>
    <t>Bold</t>
  </si>
  <si>
    <t>Slam</t>
  </si>
  <si>
    <t>Démon</t>
  </si>
  <si>
    <t>Mega 16%</t>
  </si>
  <si>
    <t>Fisher</t>
  </si>
  <si>
    <t>Grimbergen</t>
  </si>
  <si>
    <t>Jenlain</t>
  </si>
  <si>
    <t>Karsquell</t>
  </si>
  <si>
    <t>Koenigsbier</t>
  </si>
  <si>
    <t>Blond</t>
  </si>
  <si>
    <t>Kronenbourg</t>
  </si>
  <si>
    <t>7.2</t>
  </si>
  <si>
    <t>1664 Blanc</t>
  </si>
  <si>
    <t>La Goudale</t>
  </si>
  <si>
    <t>Licorne</t>
  </si>
  <si>
    <t>Bio</t>
  </si>
  <si>
    <t>Pelforth</t>
  </si>
  <si>
    <t>Saer Brau</t>
  </si>
  <si>
    <t>Amsdam Style</t>
  </si>
  <si>
    <t>Saint Omer</t>
  </si>
  <si>
    <t>Starberg</t>
  </si>
  <si>
    <t>Stark</t>
  </si>
  <si>
    <t>Steinburg</t>
  </si>
  <si>
    <t>Ley de pureza</t>
  </si>
  <si>
    <t>Tourtel</t>
  </si>
  <si>
    <t>AꓥɸA</t>
  </si>
  <si>
    <t>Grecia</t>
  </si>
  <si>
    <t>AMΣTEꓥ</t>
  </si>
  <si>
    <t>ɸΙΞ</t>
  </si>
  <si>
    <t>Mythos</t>
  </si>
  <si>
    <t>NYMɸH</t>
  </si>
  <si>
    <t>Holanda</t>
  </si>
  <si>
    <t>8.6</t>
  </si>
  <si>
    <t>Absinthe</t>
  </si>
  <si>
    <t>Extreme</t>
  </si>
  <si>
    <t>Red Bavaria</t>
  </si>
  <si>
    <t>Botellita</t>
  </si>
  <si>
    <t>I.P.L</t>
  </si>
  <si>
    <t>Amstel</t>
  </si>
  <si>
    <t>Oro</t>
  </si>
  <si>
    <t>Amsterdam</t>
  </si>
  <si>
    <t>Mariner</t>
  </si>
  <si>
    <t>Explorator</t>
  </si>
  <si>
    <t>Navigator</t>
  </si>
  <si>
    <t>Maximator</t>
  </si>
  <si>
    <t>Liberator</t>
  </si>
  <si>
    <t>Anchor Beer</t>
  </si>
  <si>
    <t>Atlas</t>
  </si>
  <si>
    <t>0,0 % Alc.</t>
  </si>
  <si>
    <t>Beer</t>
  </si>
  <si>
    <t>Best Bräu</t>
  </si>
  <si>
    <t>Breda</t>
  </si>
  <si>
    <t>Buckler</t>
  </si>
  <si>
    <t>Doland</t>
  </si>
  <si>
    <t>Drachenturm</t>
  </si>
  <si>
    <t>Fahnen Bräu</t>
  </si>
  <si>
    <t>Grolsch</t>
  </si>
  <si>
    <t>Heineken</t>
  </si>
  <si>
    <t>Hendrix</t>
  </si>
  <si>
    <t>Holandesa</t>
  </si>
  <si>
    <t>Hollandia</t>
  </si>
  <si>
    <t>Holland Import</t>
  </si>
  <si>
    <t>Super strong</t>
  </si>
  <si>
    <t>Huifkar</t>
  </si>
  <si>
    <t>Oranjeboom</t>
  </si>
  <si>
    <t>Super Strong</t>
  </si>
  <si>
    <t>Ultra Strong</t>
  </si>
  <si>
    <t>Mega Strong</t>
  </si>
  <si>
    <t>Phoenix</t>
  </si>
  <si>
    <t>Royal Dutch</t>
  </si>
  <si>
    <t>Arany Aszok</t>
  </si>
  <si>
    <t>Hungría</t>
  </si>
  <si>
    <t>Kőbányai</t>
  </si>
  <si>
    <t>Spaten</t>
  </si>
  <si>
    <t>Waldert</t>
  </si>
  <si>
    <t>Kingfisher</t>
  </si>
  <si>
    <t>India</t>
  </si>
  <si>
    <t>61 Deep</t>
  </si>
  <si>
    <t>Inglaterra</t>
  </si>
  <si>
    <t>Abbot</t>
  </si>
  <si>
    <t>Bass</t>
  </si>
  <si>
    <t>Bombardier</t>
  </si>
  <si>
    <t>Burning Gold</t>
  </si>
  <si>
    <t>Charlie Wells</t>
  </si>
  <si>
    <t>Crest</t>
  </si>
  <si>
    <t>Super 8.4</t>
  </si>
  <si>
    <t>Ghost Ship</t>
  </si>
  <si>
    <t>Hobgoblin</t>
  </si>
  <si>
    <t>London</t>
  </si>
  <si>
    <t>Pride</t>
  </si>
  <si>
    <t>Newcastle</t>
  </si>
  <si>
    <t>Brown Ale</t>
  </si>
  <si>
    <t>Old Golden Hen</t>
  </si>
  <si>
    <t>Old Speckled Hen</t>
  </si>
  <si>
    <t>Pedigree</t>
  </si>
  <si>
    <t>Ruddles County</t>
  </si>
  <si>
    <t>Trouper</t>
  </si>
  <si>
    <t>Iron Maiden</t>
  </si>
  <si>
    <t>Wainwright</t>
  </si>
  <si>
    <t>Wexford</t>
  </si>
  <si>
    <t>Young´s Double Chocolate</t>
  </si>
  <si>
    <t>Guinness</t>
  </si>
  <si>
    <t>Irlanda</t>
  </si>
  <si>
    <t>Extra Stout</t>
  </si>
  <si>
    <t>Kilkenny</t>
  </si>
  <si>
    <t>McFarland</t>
  </si>
  <si>
    <t>Angelo Poretti</t>
  </si>
  <si>
    <t>9 India Pale Ale</t>
  </si>
  <si>
    <t>Italia</t>
  </si>
  <si>
    <t>3 Non Filtrata</t>
  </si>
  <si>
    <t>Aster</t>
  </si>
  <si>
    <t>Axt</t>
  </si>
  <si>
    <t>Castello</t>
  </si>
  <si>
    <t>Dana</t>
  </si>
  <si>
    <t>Dreher</t>
  </si>
  <si>
    <t>Forst</t>
  </si>
  <si>
    <t>Ichnusa</t>
  </si>
  <si>
    <t>Italia (Cerdeña)</t>
  </si>
  <si>
    <t>Italiana</t>
  </si>
  <si>
    <t>Mastro</t>
  </si>
  <si>
    <t>Menabrea</t>
  </si>
  <si>
    <t>Moretti</t>
  </si>
  <si>
    <t>Nastro Azurro</t>
  </si>
  <si>
    <t>Peroni</t>
  </si>
  <si>
    <t>Von Wunster</t>
  </si>
  <si>
    <t>Asahi</t>
  </si>
  <si>
    <t>Japón</t>
  </si>
  <si>
    <t>Sapporo</t>
  </si>
  <si>
    <t>Kalnapilis</t>
  </si>
  <si>
    <t>Royal Select</t>
  </si>
  <si>
    <t>Lituania</t>
  </si>
  <si>
    <t>Carta Blanca</t>
  </si>
  <si>
    <t>México</t>
  </si>
  <si>
    <t>Corona</t>
  </si>
  <si>
    <t>Dos Equis</t>
  </si>
  <si>
    <t>Kloster</t>
  </si>
  <si>
    <t>León</t>
  </si>
  <si>
    <t xml:space="preserve">Modelo </t>
  </si>
  <si>
    <t>Montero</t>
  </si>
  <si>
    <t>Pacífico</t>
  </si>
  <si>
    <t>Limón</t>
  </si>
  <si>
    <t>Superior</t>
  </si>
  <si>
    <t>Tecate</t>
  </si>
  <si>
    <t>Toña</t>
  </si>
  <si>
    <t>Nicaragua</t>
  </si>
  <si>
    <t>Steinlager</t>
  </si>
  <si>
    <t>Nueva Zelanda</t>
  </si>
  <si>
    <t>Panamá</t>
  </si>
  <si>
    <t>Balboa</t>
  </si>
  <si>
    <t>Soberana</t>
  </si>
  <si>
    <t>Paraguay</t>
  </si>
  <si>
    <t>Barena</t>
  </si>
  <si>
    <t>Perú</t>
  </si>
  <si>
    <t>Cusqueña</t>
  </si>
  <si>
    <t>Pilsen Callao</t>
  </si>
  <si>
    <t>Barley</t>
  </si>
  <si>
    <t>Classic</t>
  </si>
  <si>
    <t>Polonia</t>
  </si>
  <si>
    <t>Donner</t>
  </si>
  <si>
    <t>Edelmeister</t>
  </si>
  <si>
    <t>Lomza</t>
  </si>
  <si>
    <t>Van Pur</t>
  </si>
  <si>
    <t>Duff</t>
  </si>
  <si>
    <t>Portugal</t>
  </si>
  <si>
    <t>Emdbrau</t>
  </si>
  <si>
    <t>Tostada</t>
  </si>
  <si>
    <t>Sagres</t>
  </si>
  <si>
    <t>Super Bock</t>
  </si>
  <si>
    <t>Czechvar</t>
  </si>
  <si>
    <t>Rep. Checa</t>
  </si>
  <si>
    <t>Krušovice</t>
  </si>
  <si>
    <t>Pilsner Urquell</t>
  </si>
  <si>
    <t>Pražský</t>
  </si>
  <si>
    <t>Staročech</t>
  </si>
  <si>
    <t>Staropramen</t>
  </si>
  <si>
    <t>Bohemia Especial</t>
  </si>
  <si>
    <t>Rep. Dominicana</t>
  </si>
  <si>
    <t>Presidente</t>
  </si>
  <si>
    <t>Timisoreana</t>
  </si>
  <si>
    <t>Rumania</t>
  </si>
  <si>
    <t>Ursus</t>
  </si>
  <si>
    <t>Jelen</t>
  </si>
  <si>
    <t>Serbia</t>
  </si>
  <si>
    <t>Castle</t>
  </si>
  <si>
    <t>Sudáfrica</t>
  </si>
  <si>
    <t>Lion</t>
  </si>
  <si>
    <t>Ohlsson's</t>
  </si>
  <si>
    <t>Anker</t>
  </si>
  <si>
    <t>Suiza</t>
  </si>
  <si>
    <t>Calanda</t>
  </si>
  <si>
    <t>Eichhof</t>
  </si>
  <si>
    <t>Feldschlösschen</t>
  </si>
  <si>
    <t>Gutbier</t>
  </si>
  <si>
    <r>
      <rPr>
        <rFont val="Arial"/>
        <color rgb="FF000000"/>
        <sz val="10.0"/>
      </rPr>
      <t>Qu</t>
    </r>
    <r>
      <rPr>
        <rFont val="Calibri"/>
        <color rgb="FF000000"/>
        <sz val="10.0"/>
      </rPr>
      <t>ö</t>
    </r>
    <r>
      <rPr>
        <rFont val="Arial"/>
        <color rgb="FF000000"/>
        <sz val="10.0"/>
      </rPr>
      <t>llfrisch</t>
    </r>
  </si>
  <si>
    <t>Ramseier</t>
  </si>
  <si>
    <t>Tell</t>
  </si>
  <si>
    <t>Singha</t>
  </si>
  <si>
    <t>Tailandia</t>
  </si>
  <si>
    <t>Efes</t>
  </si>
  <si>
    <t>Turquía</t>
  </si>
  <si>
    <t>Malt</t>
  </si>
  <si>
    <t>Bremen 1827</t>
  </si>
  <si>
    <t>Norteña</t>
  </si>
  <si>
    <t>Uruguay</t>
  </si>
  <si>
    <t>Patricia</t>
  </si>
  <si>
    <t>Cardenal</t>
  </si>
  <si>
    <t>Venezuela</t>
  </si>
  <si>
    <t>Total</t>
  </si>
  <si>
    <t>Tabla de cantidades por país</t>
  </si>
  <si>
    <t>País</t>
  </si>
  <si>
    <t>N° de países</t>
  </si>
  <si>
    <t>N° de marcas</t>
  </si>
  <si>
    <t>Latas chicas</t>
  </si>
  <si>
    <t>Latas grandes</t>
  </si>
  <si>
    <t>República Checa</t>
  </si>
  <si>
    <t>República Dominicana</t>
  </si>
  <si>
    <r>
      <rPr>
        <rFont val="Calibri"/>
        <color rgb="FF000000"/>
        <sz val="10.0"/>
      </rPr>
      <t>Ø</t>
    </r>
    <r>
      <rPr>
        <rFont val="Arial"/>
        <color rgb="FF000000"/>
        <sz val="10.0"/>
      </rPr>
      <t>kologisk</t>
    </r>
  </si>
  <si>
    <r>
      <rPr>
        <rFont val="Arial"/>
        <color rgb="FF000000"/>
        <sz val="10.0"/>
      </rPr>
      <t>Wei</t>
    </r>
    <r>
      <rPr>
        <rFont val="Symbol"/>
        <color rgb="FF000000"/>
        <sz val="10.0"/>
      </rPr>
      <t>b</t>
    </r>
    <r>
      <rPr>
        <rFont val="Arial"/>
        <color rgb="FF000000"/>
        <sz val="10.0"/>
      </rPr>
      <t>bier</t>
    </r>
  </si>
  <si>
    <r>
      <rPr>
        <rFont val="Arial"/>
        <color rgb="FF000000"/>
        <sz val="10.0"/>
      </rPr>
      <t>Wei</t>
    </r>
    <r>
      <rPr>
        <rFont val="Symbol"/>
        <color rgb="FF000000"/>
        <sz val="10.0"/>
      </rPr>
      <t>b</t>
    </r>
    <r>
      <rPr>
        <rFont val="Arial"/>
        <color rgb="FF000000"/>
        <sz val="10.0"/>
      </rPr>
      <t>bier</t>
    </r>
  </si>
  <si>
    <r>
      <rPr>
        <rFont val="Arial"/>
        <color rgb="FF000000"/>
        <sz val="10.0"/>
      </rPr>
      <t>Hefe-Wei</t>
    </r>
    <r>
      <rPr>
        <rFont val="Symbol"/>
        <color rgb="FF000000"/>
        <sz val="10.0"/>
      </rPr>
      <t>b</t>
    </r>
    <r>
      <rPr>
        <rFont val="Arial"/>
        <color rgb="FF000000"/>
        <sz val="10.0"/>
      </rPr>
      <t>bier</t>
    </r>
  </si>
  <si>
    <r>
      <rPr>
        <rFont val="Arial"/>
        <color rgb="FF000000"/>
        <sz val="10.0"/>
      </rPr>
      <t>Wei</t>
    </r>
    <r>
      <rPr>
        <rFont val="Symbol"/>
        <color rgb="FF000000"/>
        <sz val="10.0"/>
      </rPr>
      <t>b</t>
    </r>
    <r>
      <rPr>
        <rFont val="Arial"/>
        <color rgb="FF000000"/>
        <sz val="10.0"/>
      </rPr>
      <t>bier</t>
    </r>
  </si>
  <si>
    <r>
      <rPr>
        <rFont val="Arial"/>
        <color rgb="FF000000"/>
        <sz val="10.0"/>
      </rPr>
      <t>Hefe-Wei</t>
    </r>
    <r>
      <rPr>
        <rFont val="Symbol"/>
        <color rgb="FF000000"/>
        <sz val="10.0"/>
      </rPr>
      <t>b</t>
    </r>
    <r>
      <rPr>
        <rFont val="Arial"/>
        <color rgb="FF000000"/>
        <sz val="10.0"/>
      </rPr>
      <t>bier</t>
    </r>
  </si>
  <si>
    <r>
      <rPr>
        <rFont val="Arial"/>
        <color rgb="FF000000"/>
        <sz val="10.0"/>
      </rPr>
      <t>Hefetr</t>
    </r>
    <r>
      <rPr>
        <rFont val="Calibri"/>
        <color rgb="FF000000"/>
        <sz val="10.0"/>
      </rPr>
      <t>ü</t>
    </r>
    <r>
      <rPr>
        <rFont val="Arial"/>
        <color rgb="FF000000"/>
        <sz val="10.0"/>
      </rPr>
      <t>b</t>
    </r>
  </si>
  <si>
    <r>
      <rPr>
        <rFont val="Arial"/>
        <color rgb="FF000000"/>
        <sz val="10.0"/>
      </rPr>
      <t>Wernesgr</t>
    </r>
    <r>
      <rPr>
        <rFont val="Calibri"/>
        <color rgb="FF000000"/>
        <sz val="10.0"/>
      </rPr>
      <t>ü</t>
    </r>
    <r>
      <rPr>
        <rFont val="Arial"/>
        <color rgb="FF000000"/>
        <sz val="10.0"/>
      </rPr>
      <t>ner</t>
    </r>
  </si>
  <si>
    <r>
      <rPr>
        <rFont val="Arial"/>
        <color rgb="FF000000"/>
        <sz val="10.0"/>
      </rPr>
      <t>Wernesgr</t>
    </r>
    <r>
      <rPr>
        <rFont val="Calibri"/>
        <color rgb="FF000000"/>
        <sz val="10.0"/>
      </rPr>
      <t>ü</t>
    </r>
    <r>
      <rPr>
        <rFont val="Arial"/>
        <color rgb="FF000000"/>
        <sz val="10.0"/>
      </rPr>
      <t>ner</t>
    </r>
  </si>
  <si>
    <t>Ipa Andina (E. L.)</t>
  </si>
  <si>
    <r>
      <rPr>
        <rFont val="Arial"/>
        <color rgb="FF000000"/>
        <sz val="10.0"/>
      </rPr>
      <t>K</t>
    </r>
    <r>
      <rPr>
        <rFont val="Calibri"/>
        <color rgb="FF000000"/>
        <sz val="10.0"/>
      </rPr>
      <t>üné</t>
    </r>
  </si>
  <si>
    <r>
      <rPr>
        <rFont val="Arial"/>
        <color rgb="FF000000"/>
        <sz val="10.0"/>
      </rPr>
      <t>Maracuy</t>
    </r>
    <r>
      <rPr>
        <rFont val="Calibri"/>
        <color rgb="FF000000"/>
        <sz val="10.0"/>
      </rPr>
      <t>á</t>
    </r>
    <r>
      <rPr>
        <rFont val="Arial"/>
        <color rgb="FF000000"/>
        <sz val="10.0"/>
      </rPr>
      <t xml:space="preserve"> Sour</t>
    </r>
  </si>
  <si>
    <r>
      <rPr>
        <rFont val="Arial"/>
        <color rgb="FF000000"/>
        <sz val="10.0"/>
      </rPr>
      <t>Feldschl</t>
    </r>
    <r>
      <rPr>
        <rFont val="Calibri"/>
        <color rgb="FF000000"/>
        <sz val="10.0"/>
      </rPr>
      <t>össchen</t>
    </r>
  </si>
  <si>
    <r>
      <rPr>
        <rFont val="Arial"/>
        <color rgb="FF000000"/>
        <sz val="10.0"/>
      </rPr>
      <t>Qu</t>
    </r>
    <r>
      <rPr>
        <rFont val="Calibri"/>
        <color rgb="FF000000"/>
        <sz val="10.0"/>
      </rPr>
      <t>ö</t>
    </r>
    <r>
      <rPr>
        <rFont val="Arial"/>
        <color rgb="FF000000"/>
        <sz val="10.0"/>
      </rPr>
      <t>llfrisch</t>
    </r>
  </si>
  <si>
    <t>Cerveza Artesanal Petaten Kuchen</t>
  </si>
  <si>
    <t>Dorada pampeana</t>
  </si>
  <si>
    <t>50 litros</t>
  </si>
  <si>
    <t>500 litros</t>
  </si>
  <si>
    <t>Malta Pilsen (kg)</t>
  </si>
  <si>
    <t>Caramelo 30 (kg)</t>
  </si>
  <si>
    <t>Chocolate (kg)</t>
  </si>
  <si>
    <t>Lúpulo Cascade (kg)</t>
  </si>
  <si>
    <t>M. tostada (kg)</t>
  </si>
  <si>
    <t>Levadura Ale (g)</t>
  </si>
  <si>
    <t>Caramelo 120 (kg)</t>
  </si>
  <si>
    <t>Irish Moss (g)</t>
  </si>
  <si>
    <t>Caramelo 60 (kg)</t>
  </si>
  <si>
    <t>Avena</t>
  </si>
  <si>
    <t>Lúpulo Golding (g)</t>
  </si>
  <si>
    <t>Cantidades para 1000 litros:</t>
  </si>
  <si>
    <t>bolsas (25 kg)</t>
  </si>
  <si>
    <t>Caramelo 120 (g)</t>
  </si>
  <si>
    <t>Caramelo 60 (g)</t>
  </si>
  <si>
    <t>bolsas (1 kg)</t>
  </si>
  <si>
    <t>sobres (11 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</si>
</sst>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3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CC0000"/>
      <name val="Arial"/>
    </font>
    <font>
      <sz val="10.0"/>
      <color rgb="FF990000"/>
      <name val="Arial"/>
    </font>
    <font>
      <sz val="10.0"/>
      <color rgb="FF000000"/>
      <name val="Calibri"/>
    </font>
    <font>
      <color rgb="FFCC0000"/>
      <name val="Arial"/>
      <scheme val="minor"/>
    </font>
    <font>
      <sz val="12.0"/>
      <color rgb="FFCC0000"/>
      <name val="&quot;Calibri&quot;"/>
    </font>
    <font>
      <b/>
      <sz val="10.0"/>
      <color rgb="FF000000"/>
      <name val="Arial"/>
    </font>
    <font>
      <u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0" xfId="0" applyAlignment="1" applyFont="1" applyNumberFormat="1">
      <alignment horizontal="center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1" numFmtId="9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right" shrinkToFit="0" vertical="bottom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1" fillId="0" fontId="10" numFmtId="0" xfId="0" applyAlignment="1" applyBorder="1" applyFont="1">
      <alignment horizontal="center" shrinkToFit="0" vertical="bottom" wrapText="0"/>
    </xf>
    <xf borderId="2" fillId="0" fontId="11" numFmtId="0" xfId="0" applyBorder="1" applyFont="1"/>
    <xf borderId="3" fillId="0" fontId="9" numFmtId="0" xfId="0" applyAlignment="1" applyBorder="1" applyFont="1">
      <alignment horizontal="center" shrinkToFit="0" vertical="bottom" wrapText="0"/>
    </xf>
    <xf borderId="4" fillId="0" fontId="9" numFmtId="0" xfId="0" applyAlignment="1" applyBorder="1" applyFont="1">
      <alignment horizontal="center" shrinkToFit="0" vertical="bottom" wrapText="0"/>
    </xf>
    <xf borderId="3" fillId="0" fontId="9" numFmtId="0" xfId="0" applyAlignment="1" applyBorder="1" applyFont="1">
      <alignment shrinkToFit="0" vertical="bottom" wrapText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4.25"/>
    <col customWidth="1" min="3" max="3" width="19.0"/>
    <col customWidth="1" min="4" max="4" width="12.25"/>
    <col customWidth="1" min="5" max="5" width="15.63"/>
    <col customWidth="1" min="6" max="6" width="12.0"/>
    <col customWidth="1" min="7" max="7" width="10.0"/>
    <col customWidth="1" min="8" max="8" width="14.38"/>
    <col customWidth="1" min="9" max="26" width="10.0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5.5" customHeight="1">
      <c r="A3" s="3" t="s">
        <v>1</v>
      </c>
      <c r="B3" s="3"/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5" t="s">
        <v>7</v>
      </c>
      <c r="B4" s="3">
        <v>1.0</v>
      </c>
      <c r="C4" s="3"/>
      <c r="D4" s="3"/>
      <c r="E4" s="2" t="s">
        <v>8</v>
      </c>
      <c r="F4" s="3">
        <v>1.0</v>
      </c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5" t="s">
        <v>9</v>
      </c>
      <c r="B5" s="3">
        <v>1.0</v>
      </c>
      <c r="C5" s="6" t="s">
        <v>10</v>
      </c>
      <c r="D5" s="3" t="s">
        <v>11</v>
      </c>
      <c r="E5" s="2" t="s">
        <v>8</v>
      </c>
      <c r="F5" s="3">
        <v>1.0</v>
      </c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5" t="s">
        <v>12</v>
      </c>
      <c r="B6" s="3">
        <v>1.0</v>
      </c>
      <c r="C6" s="3"/>
      <c r="D6" s="2" t="s">
        <v>11</v>
      </c>
      <c r="E6" s="2" t="s">
        <v>8</v>
      </c>
      <c r="F6" s="3">
        <v>2.0</v>
      </c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5" t="s">
        <v>13</v>
      </c>
      <c r="B7" s="3">
        <v>1.0</v>
      </c>
      <c r="C7" s="3"/>
      <c r="D7" s="2"/>
      <c r="E7" s="2" t="s">
        <v>8</v>
      </c>
      <c r="F7" s="3">
        <v>1.0</v>
      </c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5" t="s">
        <v>13</v>
      </c>
      <c r="B8" s="3"/>
      <c r="C8" s="3"/>
      <c r="D8" s="2" t="s">
        <v>11</v>
      </c>
      <c r="E8" s="2" t="s">
        <v>8</v>
      </c>
      <c r="F8" s="3">
        <v>1.0</v>
      </c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5" t="s">
        <v>13</v>
      </c>
      <c r="B9" s="3"/>
      <c r="C9" s="3" t="s">
        <v>14</v>
      </c>
      <c r="D9" s="2" t="s">
        <v>11</v>
      </c>
      <c r="E9" s="2" t="s">
        <v>8</v>
      </c>
      <c r="F9" s="3">
        <v>1.0</v>
      </c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5" t="s">
        <v>13</v>
      </c>
      <c r="B10" s="3"/>
      <c r="C10" s="3" t="s">
        <v>15</v>
      </c>
      <c r="D10" s="2" t="s">
        <v>11</v>
      </c>
      <c r="E10" s="2" t="s">
        <v>8</v>
      </c>
      <c r="F10" s="3">
        <v>1.0</v>
      </c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5" t="s">
        <v>13</v>
      </c>
      <c r="B11" s="3"/>
      <c r="C11" s="3" t="s">
        <v>16</v>
      </c>
      <c r="D11" s="2" t="s">
        <v>11</v>
      </c>
      <c r="E11" s="2" t="s">
        <v>8</v>
      </c>
      <c r="F11" s="3">
        <v>1.0</v>
      </c>
      <c r="G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5" t="s">
        <v>13</v>
      </c>
      <c r="B12" s="3"/>
      <c r="C12" s="3" t="s">
        <v>17</v>
      </c>
      <c r="D12" s="2" t="s">
        <v>11</v>
      </c>
      <c r="E12" s="2" t="s">
        <v>8</v>
      </c>
      <c r="F12" s="3">
        <v>1.0</v>
      </c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 t="s">
        <v>18</v>
      </c>
      <c r="B13" s="3">
        <v>1.0</v>
      </c>
      <c r="C13" s="3"/>
      <c r="D13" s="2" t="s">
        <v>11</v>
      </c>
      <c r="E13" s="2" t="s">
        <v>8</v>
      </c>
      <c r="F13" s="3">
        <v>1.0</v>
      </c>
      <c r="G13" s="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 t="s">
        <v>19</v>
      </c>
      <c r="B14" s="3">
        <v>1.0</v>
      </c>
      <c r="C14" s="2"/>
      <c r="D14" s="2"/>
      <c r="E14" s="2" t="s">
        <v>8</v>
      </c>
      <c r="F14" s="2">
        <v>2.0</v>
      </c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 t="s">
        <v>19</v>
      </c>
      <c r="B15" s="2"/>
      <c r="C15" s="2" t="s">
        <v>20</v>
      </c>
      <c r="D15" s="2"/>
      <c r="E15" s="2" t="s">
        <v>8</v>
      </c>
      <c r="F15" s="2">
        <v>1.0</v>
      </c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5" t="s">
        <v>21</v>
      </c>
      <c r="B16" s="3">
        <v>1.0</v>
      </c>
      <c r="C16" s="2"/>
      <c r="D16" s="2" t="s">
        <v>11</v>
      </c>
      <c r="E16" s="2" t="s">
        <v>8</v>
      </c>
      <c r="F16" s="2">
        <v>1.0</v>
      </c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5" t="s">
        <v>21</v>
      </c>
      <c r="B17" s="3"/>
      <c r="C17" s="2" t="s">
        <v>22</v>
      </c>
      <c r="D17" s="2" t="s">
        <v>11</v>
      </c>
      <c r="E17" s="2" t="s">
        <v>8</v>
      </c>
      <c r="F17" s="2">
        <v>1.0</v>
      </c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5" t="s">
        <v>21</v>
      </c>
      <c r="B18" s="3"/>
      <c r="C18" s="2" t="s">
        <v>23</v>
      </c>
      <c r="D18" s="2" t="s">
        <v>11</v>
      </c>
      <c r="E18" s="2" t="s">
        <v>8</v>
      </c>
      <c r="F18" s="2">
        <v>1.0</v>
      </c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 t="s">
        <v>24</v>
      </c>
      <c r="B19" s="3">
        <v>1.0</v>
      </c>
      <c r="C19" s="2"/>
      <c r="D19" s="2" t="s">
        <v>11</v>
      </c>
      <c r="E19" s="2" t="s">
        <v>8</v>
      </c>
      <c r="F19" s="2">
        <v>1.0</v>
      </c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 t="s">
        <v>24</v>
      </c>
      <c r="B20" s="3"/>
      <c r="C20" s="2" t="s">
        <v>25</v>
      </c>
      <c r="D20" s="2" t="s">
        <v>11</v>
      </c>
      <c r="E20" s="2" t="s">
        <v>8</v>
      </c>
      <c r="F20" s="2">
        <v>1.0</v>
      </c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 t="s">
        <v>24</v>
      </c>
      <c r="B21" s="3"/>
      <c r="C21" s="2" t="s">
        <v>26</v>
      </c>
      <c r="D21" s="2" t="s">
        <v>11</v>
      </c>
      <c r="E21" s="2" t="s">
        <v>8</v>
      </c>
      <c r="F21" s="2">
        <v>1.0</v>
      </c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 t="s">
        <v>24</v>
      </c>
      <c r="B22" s="3"/>
      <c r="C22" s="7">
        <v>0.0</v>
      </c>
      <c r="D22" s="2" t="s">
        <v>11</v>
      </c>
      <c r="E22" s="2" t="s">
        <v>8</v>
      </c>
      <c r="F22" s="2">
        <v>1.0</v>
      </c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 t="s">
        <v>27</v>
      </c>
      <c r="B23" s="3">
        <v>1.0</v>
      </c>
      <c r="C23" s="2" t="s">
        <v>28</v>
      </c>
      <c r="D23" s="2" t="s">
        <v>11</v>
      </c>
      <c r="E23" s="2" t="s">
        <v>8</v>
      </c>
      <c r="F23" s="2">
        <v>1.0</v>
      </c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 t="s">
        <v>27</v>
      </c>
      <c r="B24" s="3"/>
      <c r="C24" s="2" t="s">
        <v>29</v>
      </c>
      <c r="D24" s="2" t="s">
        <v>11</v>
      </c>
      <c r="E24" s="2" t="s">
        <v>8</v>
      </c>
      <c r="F24" s="2">
        <v>1.0</v>
      </c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 t="s">
        <v>30</v>
      </c>
      <c r="B25" s="3">
        <v>1.0</v>
      </c>
      <c r="C25" s="2"/>
      <c r="D25" s="2"/>
      <c r="E25" s="2" t="s">
        <v>8</v>
      </c>
      <c r="F25" s="2">
        <v>1.0</v>
      </c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 t="s">
        <v>30</v>
      </c>
      <c r="B26" s="2"/>
      <c r="C26" s="2"/>
      <c r="D26" s="2" t="s">
        <v>11</v>
      </c>
      <c r="E26" s="2" t="s">
        <v>8</v>
      </c>
      <c r="F26" s="2">
        <v>1.0</v>
      </c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 t="s">
        <v>30</v>
      </c>
      <c r="B27" s="2"/>
      <c r="C27" s="2" t="s">
        <v>31</v>
      </c>
      <c r="D27" s="2" t="s">
        <v>11</v>
      </c>
      <c r="E27" s="2" t="s">
        <v>8</v>
      </c>
      <c r="F27" s="2">
        <v>1.0</v>
      </c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 t="s">
        <v>32</v>
      </c>
      <c r="B28" s="2">
        <v>1.0</v>
      </c>
      <c r="C28" s="2"/>
      <c r="D28" s="2" t="s">
        <v>11</v>
      </c>
      <c r="E28" s="2" t="s">
        <v>8</v>
      </c>
      <c r="F28" s="2">
        <v>1.0</v>
      </c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 t="s">
        <v>33</v>
      </c>
      <c r="B29" s="3">
        <v>1.0</v>
      </c>
      <c r="C29" s="2"/>
      <c r="D29" s="2"/>
      <c r="E29" s="2" t="s">
        <v>8</v>
      </c>
      <c r="F29" s="2">
        <v>2.0</v>
      </c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 t="s">
        <v>33</v>
      </c>
      <c r="B30" s="2"/>
      <c r="C30" s="2"/>
      <c r="D30" s="2" t="s">
        <v>11</v>
      </c>
      <c r="E30" s="2" t="s">
        <v>8</v>
      </c>
      <c r="F30" s="2">
        <v>1.0</v>
      </c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 t="s">
        <v>33</v>
      </c>
      <c r="B31" s="2"/>
      <c r="C31" s="2" t="s">
        <v>34</v>
      </c>
      <c r="D31" s="2" t="s">
        <v>11</v>
      </c>
      <c r="E31" s="2" t="s">
        <v>8</v>
      </c>
      <c r="F31" s="2">
        <v>1.0</v>
      </c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 t="s">
        <v>33</v>
      </c>
      <c r="B32" s="2"/>
      <c r="C32" s="2" t="s">
        <v>35</v>
      </c>
      <c r="D32" s="2" t="s">
        <v>11</v>
      </c>
      <c r="E32" s="2" t="s">
        <v>8</v>
      </c>
      <c r="F32" s="2">
        <v>1.0</v>
      </c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 t="s">
        <v>33</v>
      </c>
      <c r="B33" s="2"/>
      <c r="C33" s="2" t="s">
        <v>36</v>
      </c>
      <c r="D33" s="2" t="s">
        <v>11</v>
      </c>
      <c r="E33" s="2" t="s">
        <v>8</v>
      </c>
      <c r="F33" s="2">
        <v>1.0</v>
      </c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 t="s">
        <v>37</v>
      </c>
      <c r="B34" s="3">
        <v>1.0</v>
      </c>
      <c r="C34" s="2"/>
      <c r="D34" s="2"/>
      <c r="E34" s="2" t="s">
        <v>8</v>
      </c>
      <c r="F34" s="2">
        <v>1.0</v>
      </c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 t="s">
        <v>37</v>
      </c>
      <c r="B35" s="3"/>
      <c r="C35" s="2" t="s">
        <v>38</v>
      </c>
      <c r="D35" s="2" t="s">
        <v>11</v>
      </c>
      <c r="E35" s="2" t="s">
        <v>8</v>
      </c>
      <c r="F35" s="2">
        <v>1.0</v>
      </c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 t="s">
        <v>37</v>
      </c>
      <c r="B36" s="3"/>
      <c r="C36" s="2" t="s">
        <v>39</v>
      </c>
      <c r="D36" s="2" t="s">
        <v>11</v>
      </c>
      <c r="E36" s="2" t="s">
        <v>8</v>
      </c>
      <c r="F36" s="2">
        <v>1.0</v>
      </c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 t="s">
        <v>40</v>
      </c>
      <c r="B37" s="3">
        <v>1.0</v>
      </c>
      <c r="C37" s="2" t="s">
        <v>41</v>
      </c>
      <c r="D37" s="2" t="s">
        <v>11</v>
      </c>
      <c r="E37" s="2" t="s">
        <v>8</v>
      </c>
      <c r="F37" s="2">
        <v>1.0</v>
      </c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 t="s">
        <v>40</v>
      </c>
      <c r="B38" s="3"/>
      <c r="C38" s="2" t="s">
        <v>39</v>
      </c>
      <c r="D38" s="2" t="s">
        <v>11</v>
      </c>
      <c r="E38" s="2" t="s">
        <v>8</v>
      </c>
      <c r="F38" s="2">
        <v>1.0</v>
      </c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 t="s">
        <v>40</v>
      </c>
      <c r="B39" s="3"/>
      <c r="C39" s="2" t="s">
        <v>29</v>
      </c>
      <c r="D39" s="2" t="s">
        <v>11</v>
      </c>
      <c r="E39" s="2" t="s">
        <v>8</v>
      </c>
      <c r="F39" s="2">
        <v>1.0</v>
      </c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 t="s">
        <v>42</v>
      </c>
      <c r="B40" s="2">
        <v>1.0</v>
      </c>
      <c r="C40" s="2"/>
      <c r="D40" s="2"/>
      <c r="E40" s="2" t="s">
        <v>8</v>
      </c>
      <c r="F40" s="2">
        <v>1.0</v>
      </c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 t="s">
        <v>43</v>
      </c>
      <c r="B41" s="2">
        <v>1.0</v>
      </c>
      <c r="C41" s="2"/>
      <c r="D41" s="2"/>
      <c r="E41" s="2" t="s">
        <v>8</v>
      </c>
      <c r="F41" s="2">
        <v>1.0</v>
      </c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 t="s">
        <v>43</v>
      </c>
      <c r="B42" s="2"/>
      <c r="C42" s="2" t="s">
        <v>44</v>
      </c>
      <c r="D42" s="2"/>
      <c r="E42" s="2" t="s">
        <v>8</v>
      </c>
      <c r="F42" s="2">
        <v>1.0</v>
      </c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 t="s">
        <v>45</v>
      </c>
      <c r="B43" s="2">
        <v>1.0</v>
      </c>
      <c r="C43" s="2" t="s">
        <v>46</v>
      </c>
      <c r="D43" s="2" t="s">
        <v>11</v>
      </c>
      <c r="E43" s="2" t="s">
        <v>8</v>
      </c>
      <c r="F43" s="2">
        <v>1.0</v>
      </c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 t="s">
        <v>45</v>
      </c>
      <c r="B44" s="2"/>
      <c r="C44" s="2" t="s">
        <v>47</v>
      </c>
      <c r="D44" s="2" t="s">
        <v>11</v>
      </c>
      <c r="E44" s="2" t="s">
        <v>8</v>
      </c>
      <c r="F44" s="2">
        <v>1.0</v>
      </c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 t="s">
        <v>45</v>
      </c>
      <c r="B45" s="2"/>
      <c r="C45" s="2" t="s">
        <v>48</v>
      </c>
      <c r="D45" s="2" t="s">
        <v>11</v>
      </c>
      <c r="E45" s="2" t="s">
        <v>8</v>
      </c>
      <c r="F45" s="2">
        <v>1.0</v>
      </c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 t="s">
        <v>45</v>
      </c>
      <c r="B46" s="2"/>
      <c r="C46" s="2" t="s">
        <v>49</v>
      </c>
      <c r="D46" s="2" t="s">
        <v>11</v>
      </c>
      <c r="E46" s="2" t="s">
        <v>8</v>
      </c>
      <c r="F46" s="2">
        <v>1.0</v>
      </c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 t="s">
        <v>50</v>
      </c>
      <c r="B47" s="2">
        <v>1.0</v>
      </c>
      <c r="C47" s="2"/>
      <c r="D47" s="2" t="s">
        <v>11</v>
      </c>
      <c r="E47" s="2" t="s">
        <v>8</v>
      </c>
      <c r="F47" s="2">
        <v>1.0</v>
      </c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 t="s">
        <v>51</v>
      </c>
      <c r="B48" s="2">
        <v>1.0</v>
      </c>
      <c r="C48" s="2" t="s">
        <v>52</v>
      </c>
      <c r="D48" s="2" t="s">
        <v>11</v>
      </c>
      <c r="E48" s="2" t="s">
        <v>8</v>
      </c>
      <c r="F48" s="2">
        <v>2.0</v>
      </c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 t="s">
        <v>51</v>
      </c>
      <c r="B49" s="2"/>
      <c r="C49" s="2" t="s">
        <v>53</v>
      </c>
      <c r="D49" s="2" t="s">
        <v>11</v>
      </c>
      <c r="E49" s="2" t="s">
        <v>8</v>
      </c>
      <c r="F49" s="2">
        <v>1.0</v>
      </c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 t="s">
        <v>51</v>
      </c>
      <c r="B50" s="2"/>
      <c r="C50" s="2" t="s">
        <v>54</v>
      </c>
      <c r="D50" s="2" t="s">
        <v>11</v>
      </c>
      <c r="E50" s="2" t="s">
        <v>8</v>
      </c>
      <c r="F50" s="2">
        <v>1.0</v>
      </c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 t="s">
        <v>51</v>
      </c>
      <c r="B51" s="2"/>
      <c r="C51" s="2" t="s">
        <v>55</v>
      </c>
      <c r="D51" s="2" t="s">
        <v>11</v>
      </c>
      <c r="E51" s="2" t="s">
        <v>8</v>
      </c>
      <c r="F51" s="2">
        <v>1.0</v>
      </c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 t="s">
        <v>56</v>
      </c>
      <c r="B52" s="2">
        <v>1.0</v>
      </c>
      <c r="C52" s="2"/>
      <c r="D52" s="2" t="s">
        <v>11</v>
      </c>
      <c r="E52" s="2" t="s">
        <v>8</v>
      </c>
      <c r="F52" s="2">
        <v>1.0</v>
      </c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 t="s">
        <v>57</v>
      </c>
      <c r="B53" s="2">
        <v>1.0</v>
      </c>
      <c r="C53" s="2" t="s">
        <v>39</v>
      </c>
      <c r="D53" s="2" t="s">
        <v>11</v>
      </c>
      <c r="E53" s="2" t="s">
        <v>8</v>
      </c>
      <c r="F53" s="2">
        <v>1.0</v>
      </c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 t="s">
        <v>58</v>
      </c>
      <c r="B54" s="2">
        <v>1.0</v>
      </c>
      <c r="C54" s="2"/>
      <c r="D54" s="2" t="s">
        <v>11</v>
      </c>
      <c r="E54" s="2" t="s">
        <v>8</v>
      </c>
      <c r="F54" s="2">
        <v>1.0</v>
      </c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 t="s">
        <v>59</v>
      </c>
      <c r="B55" s="2">
        <v>1.0</v>
      </c>
      <c r="C55" s="2"/>
      <c r="D55" s="2" t="s">
        <v>11</v>
      </c>
      <c r="E55" s="2" t="s">
        <v>8</v>
      </c>
      <c r="F55" s="2">
        <v>1.0</v>
      </c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 t="s">
        <v>60</v>
      </c>
      <c r="B56" s="2">
        <v>1.0</v>
      </c>
      <c r="C56" s="2"/>
      <c r="D56" s="2"/>
      <c r="E56" s="2" t="s">
        <v>8</v>
      </c>
      <c r="F56" s="2">
        <v>1.0</v>
      </c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 t="s">
        <v>61</v>
      </c>
      <c r="B57" s="2">
        <v>1.0</v>
      </c>
      <c r="C57" s="2" t="s">
        <v>31</v>
      </c>
      <c r="D57" s="2"/>
      <c r="E57" s="2" t="s">
        <v>8</v>
      </c>
      <c r="F57" s="2">
        <v>1.0</v>
      </c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8" t="s">
        <v>62</v>
      </c>
      <c r="B58" s="9">
        <v>1.0</v>
      </c>
      <c r="C58" s="9" t="s">
        <v>63</v>
      </c>
      <c r="D58" s="2" t="s">
        <v>11</v>
      </c>
      <c r="E58" s="2" t="s">
        <v>8</v>
      </c>
      <c r="F58" s="2">
        <v>1.0</v>
      </c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 t="s">
        <v>64</v>
      </c>
      <c r="B59" s="2">
        <v>1.0</v>
      </c>
      <c r="C59" s="2"/>
      <c r="D59" s="2"/>
      <c r="E59" s="2" t="s">
        <v>8</v>
      </c>
      <c r="F59" s="2">
        <v>1.0</v>
      </c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 t="s">
        <v>65</v>
      </c>
      <c r="B60" s="2">
        <v>1.0</v>
      </c>
      <c r="C60" s="2"/>
      <c r="D60" s="2"/>
      <c r="E60" s="2" t="s">
        <v>8</v>
      </c>
      <c r="F60" s="2">
        <v>1.0</v>
      </c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 t="s">
        <v>66</v>
      </c>
      <c r="B61" s="2">
        <v>1.0</v>
      </c>
      <c r="C61" s="2" t="s">
        <v>39</v>
      </c>
      <c r="D61" s="2" t="s">
        <v>11</v>
      </c>
      <c r="E61" s="2" t="s">
        <v>8</v>
      </c>
      <c r="F61" s="2">
        <v>1.0</v>
      </c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 t="s">
        <v>66</v>
      </c>
      <c r="B62" s="2"/>
      <c r="C62" s="2" t="s">
        <v>67</v>
      </c>
      <c r="D62" s="2" t="s">
        <v>11</v>
      </c>
      <c r="E62" s="2" t="s">
        <v>8</v>
      </c>
      <c r="F62" s="2">
        <v>1.0</v>
      </c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 t="s">
        <v>68</v>
      </c>
      <c r="B63" s="2">
        <v>1.0</v>
      </c>
      <c r="C63" s="2"/>
      <c r="D63" s="2"/>
      <c r="E63" s="2" t="s">
        <v>8</v>
      </c>
      <c r="F63" s="2">
        <v>1.0</v>
      </c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 t="s">
        <v>68</v>
      </c>
      <c r="B64" s="2"/>
      <c r="C64" s="2" t="s">
        <v>31</v>
      </c>
      <c r="D64" s="2"/>
      <c r="E64" s="2" t="s">
        <v>8</v>
      </c>
      <c r="F64" s="2">
        <v>1.0</v>
      </c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 t="s">
        <v>68</v>
      </c>
      <c r="B65" s="2"/>
      <c r="C65" s="2" t="s">
        <v>69</v>
      </c>
      <c r="D65" s="2"/>
      <c r="E65" s="2" t="s">
        <v>8</v>
      </c>
      <c r="F65" s="2">
        <v>1.0</v>
      </c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 t="s">
        <v>68</v>
      </c>
      <c r="B66" s="2"/>
      <c r="C66" s="2" t="s">
        <v>70</v>
      </c>
      <c r="D66" s="2" t="s">
        <v>11</v>
      </c>
      <c r="E66" s="2" t="s">
        <v>8</v>
      </c>
      <c r="F66" s="2">
        <v>1.0</v>
      </c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 t="s">
        <v>71</v>
      </c>
      <c r="B67" s="2">
        <v>1.0</v>
      </c>
      <c r="C67" s="2"/>
      <c r="D67" s="2" t="s">
        <v>11</v>
      </c>
      <c r="E67" s="2" t="s">
        <v>8</v>
      </c>
      <c r="F67" s="2">
        <v>1.0</v>
      </c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 t="s">
        <v>72</v>
      </c>
      <c r="B68" s="2">
        <v>1.0</v>
      </c>
      <c r="C68" s="2"/>
      <c r="D68" s="2"/>
      <c r="E68" s="2" t="s">
        <v>8</v>
      </c>
      <c r="F68" s="2">
        <v>1.0</v>
      </c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 t="s">
        <v>72</v>
      </c>
      <c r="B69" s="2"/>
      <c r="C69" s="2" t="s">
        <v>39</v>
      </c>
      <c r="D69" s="2" t="s">
        <v>73</v>
      </c>
      <c r="E69" s="2" t="s">
        <v>8</v>
      </c>
      <c r="F69" s="2">
        <v>1.0</v>
      </c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 t="s">
        <v>72</v>
      </c>
      <c r="B70" s="2"/>
      <c r="C70" s="2" t="s">
        <v>35</v>
      </c>
      <c r="D70" s="2" t="s">
        <v>73</v>
      </c>
      <c r="E70" s="2" t="s">
        <v>8</v>
      </c>
      <c r="F70" s="2">
        <v>1.0</v>
      </c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 t="s">
        <v>72</v>
      </c>
      <c r="B71" s="2"/>
      <c r="C71" s="2" t="s">
        <v>74</v>
      </c>
      <c r="D71" s="2" t="s">
        <v>73</v>
      </c>
      <c r="E71" s="2" t="s">
        <v>8</v>
      </c>
      <c r="F71" s="2">
        <v>1.0</v>
      </c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 t="s">
        <v>72</v>
      </c>
      <c r="B72" s="2"/>
      <c r="C72" s="2" t="s">
        <v>75</v>
      </c>
      <c r="D72" s="2" t="s">
        <v>73</v>
      </c>
      <c r="E72" s="2" t="s">
        <v>8</v>
      </c>
      <c r="F72" s="2">
        <v>1.0</v>
      </c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 t="s">
        <v>72</v>
      </c>
      <c r="B73" s="2"/>
      <c r="C73" s="2" t="s">
        <v>76</v>
      </c>
      <c r="D73" s="2" t="s">
        <v>73</v>
      </c>
      <c r="E73" s="2" t="s">
        <v>8</v>
      </c>
      <c r="F73" s="2">
        <v>1.0</v>
      </c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 t="s">
        <v>77</v>
      </c>
      <c r="B74" s="2">
        <v>1.0</v>
      </c>
      <c r="C74" s="2"/>
      <c r="D74" s="2" t="s">
        <v>11</v>
      </c>
      <c r="E74" s="2" t="s">
        <v>8</v>
      </c>
      <c r="F74" s="2">
        <v>1.0</v>
      </c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 t="s">
        <v>78</v>
      </c>
      <c r="B75" s="2">
        <v>1.0</v>
      </c>
      <c r="C75" s="2" t="s">
        <v>79</v>
      </c>
      <c r="D75" s="2" t="s">
        <v>11</v>
      </c>
      <c r="E75" s="2" t="s">
        <v>8</v>
      </c>
      <c r="F75" s="2">
        <v>1.0</v>
      </c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 t="s">
        <v>78</v>
      </c>
      <c r="B76" s="2"/>
      <c r="C76" s="2" t="s">
        <v>10</v>
      </c>
      <c r="D76" s="2" t="s">
        <v>11</v>
      </c>
      <c r="E76" s="2" t="s">
        <v>8</v>
      </c>
      <c r="F76" s="2">
        <v>1.0</v>
      </c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 t="s">
        <v>78</v>
      </c>
      <c r="B77" s="2"/>
      <c r="C77" s="2" t="s">
        <v>41</v>
      </c>
      <c r="D77" s="2" t="s">
        <v>11</v>
      </c>
      <c r="E77" s="2" t="s">
        <v>8</v>
      </c>
      <c r="F77" s="2">
        <v>2.0</v>
      </c>
      <c r="G77" s="2" t="s">
        <v>80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 t="s">
        <v>81</v>
      </c>
      <c r="B78" s="2">
        <v>1.0</v>
      </c>
      <c r="C78" s="2"/>
      <c r="D78" s="2" t="s">
        <v>11</v>
      </c>
      <c r="E78" s="2" t="s">
        <v>8</v>
      </c>
      <c r="F78" s="2">
        <v>2.0</v>
      </c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 t="s">
        <v>82</v>
      </c>
      <c r="B79" s="2">
        <v>1.0</v>
      </c>
      <c r="C79" s="2"/>
      <c r="D79" s="2"/>
      <c r="E79" s="2" t="s">
        <v>8</v>
      </c>
      <c r="F79" s="2">
        <v>1.0</v>
      </c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 t="s">
        <v>82</v>
      </c>
      <c r="B80" s="2"/>
      <c r="C80" s="2" t="s">
        <v>83</v>
      </c>
      <c r="D80" s="2" t="s">
        <v>11</v>
      </c>
      <c r="E80" s="2" t="s">
        <v>8</v>
      </c>
      <c r="F80" s="2">
        <v>2.0</v>
      </c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 t="s">
        <v>82</v>
      </c>
      <c r="B81" s="2"/>
      <c r="C81" s="2" t="s">
        <v>41</v>
      </c>
      <c r="D81" s="2" t="s">
        <v>11</v>
      </c>
      <c r="E81" s="2" t="s">
        <v>8</v>
      </c>
      <c r="F81" s="2">
        <v>1.0</v>
      </c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 t="s">
        <v>82</v>
      </c>
      <c r="B82" s="2"/>
      <c r="C82" s="2" t="s">
        <v>84</v>
      </c>
      <c r="D82" s="2" t="s">
        <v>11</v>
      </c>
      <c r="E82" s="2" t="s">
        <v>8</v>
      </c>
      <c r="F82" s="2">
        <v>1.0</v>
      </c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 t="s">
        <v>85</v>
      </c>
      <c r="B83" s="2">
        <v>1.0</v>
      </c>
      <c r="C83" s="2"/>
      <c r="D83" s="2" t="s">
        <v>11</v>
      </c>
      <c r="E83" s="2" t="s">
        <v>8</v>
      </c>
      <c r="F83" s="2">
        <v>1.0</v>
      </c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 t="s">
        <v>85</v>
      </c>
      <c r="B84" s="2"/>
      <c r="C84" s="2" t="s">
        <v>84</v>
      </c>
      <c r="D84" s="2" t="s">
        <v>11</v>
      </c>
      <c r="E84" s="2" t="s">
        <v>8</v>
      </c>
      <c r="F84" s="2">
        <v>1.0</v>
      </c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 t="s">
        <v>86</v>
      </c>
      <c r="B85" s="2">
        <v>1.0</v>
      </c>
      <c r="C85" s="1"/>
      <c r="D85" s="2"/>
      <c r="E85" s="2" t="s">
        <v>8</v>
      </c>
      <c r="F85" s="2">
        <v>1.0</v>
      </c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 t="s">
        <v>86</v>
      </c>
      <c r="B86" s="2"/>
      <c r="C86" s="2" t="s">
        <v>41</v>
      </c>
      <c r="D86" s="2" t="s">
        <v>11</v>
      </c>
      <c r="E86" s="2" t="s">
        <v>8</v>
      </c>
      <c r="F86" s="2">
        <v>1.0</v>
      </c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 t="s">
        <v>87</v>
      </c>
      <c r="B87" s="2">
        <v>1.0</v>
      </c>
      <c r="C87" s="2"/>
      <c r="D87" s="2" t="s">
        <v>11</v>
      </c>
      <c r="E87" s="2" t="s">
        <v>8</v>
      </c>
      <c r="F87" s="2">
        <v>1.0</v>
      </c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 t="s">
        <v>88</v>
      </c>
      <c r="B88" s="2">
        <v>1.0</v>
      </c>
      <c r="C88" s="2"/>
      <c r="D88" s="2" t="s">
        <v>11</v>
      </c>
      <c r="E88" s="2" t="s">
        <v>8</v>
      </c>
      <c r="F88" s="2">
        <v>1.0</v>
      </c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 t="s">
        <v>89</v>
      </c>
      <c r="B89" s="2">
        <v>1.0</v>
      </c>
      <c r="C89" s="2"/>
      <c r="D89" s="2" t="s">
        <v>11</v>
      </c>
      <c r="E89" s="2" t="s">
        <v>8</v>
      </c>
      <c r="F89" s="2">
        <v>1.0</v>
      </c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 t="s">
        <v>90</v>
      </c>
      <c r="B90" s="2">
        <v>1.0</v>
      </c>
      <c r="C90" s="2" t="s">
        <v>39</v>
      </c>
      <c r="D90" s="2" t="s">
        <v>11</v>
      </c>
      <c r="E90" s="2" t="s">
        <v>8</v>
      </c>
      <c r="F90" s="2">
        <v>1.0</v>
      </c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 t="s">
        <v>90</v>
      </c>
      <c r="B91" s="2"/>
      <c r="C91" s="2" t="s">
        <v>91</v>
      </c>
      <c r="D91" s="2" t="s">
        <v>11</v>
      </c>
      <c r="E91" s="2" t="s">
        <v>8</v>
      </c>
      <c r="F91" s="2">
        <v>1.0</v>
      </c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 t="s">
        <v>90</v>
      </c>
      <c r="B92" s="2"/>
      <c r="C92" s="2" t="s">
        <v>54</v>
      </c>
      <c r="D92" s="2" t="s">
        <v>11</v>
      </c>
      <c r="E92" s="2" t="s">
        <v>8</v>
      </c>
      <c r="F92" s="2">
        <v>1.0</v>
      </c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 t="s">
        <v>90</v>
      </c>
      <c r="B93" s="2"/>
      <c r="C93" s="2" t="s">
        <v>92</v>
      </c>
      <c r="D93" s="2" t="s">
        <v>11</v>
      </c>
      <c r="E93" s="2" t="s">
        <v>8</v>
      </c>
      <c r="F93" s="2">
        <v>1.0</v>
      </c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 t="s">
        <v>93</v>
      </c>
      <c r="B94" s="2">
        <v>1.0</v>
      </c>
      <c r="C94" s="2"/>
      <c r="D94" s="2"/>
      <c r="E94" s="2" t="s">
        <v>8</v>
      </c>
      <c r="F94" s="2">
        <v>1.0</v>
      </c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 t="s">
        <v>94</v>
      </c>
      <c r="B95" s="2">
        <v>1.0</v>
      </c>
      <c r="C95" s="2"/>
      <c r="D95" s="2"/>
      <c r="E95" s="2" t="s">
        <v>8</v>
      </c>
      <c r="F95" s="2">
        <v>1.0</v>
      </c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 t="s">
        <v>94</v>
      </c>
      <c r="B96" s="2"/>
      <c r="C96" s="2" t="s">
        <v>95</v>
      </c>
      <c r="D96" s="2" t="s">
        <v>11</v>
      </c>
      <c r="E96" s="2" t="s">
        <v>8</v>
      </c>
      <c r="F96" s="2">
        <v>1.0</v>
      </c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 t="s">
        <v>94</v>
      </c>
      <c r="B97" s="2"/>
      <c r="C97" s="2" t="s">
        <v>23</v>
      </c>
      <c r="D97" s="2" t="s">
        <v>11</v>
      </c>
      <c r="E97" s="2" t="s">
        <v>8</v>
      </c>
      <c r="F97" s="2">
        <v>1.0</v>
      </c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 t="s">
        <v>94</v>
      </c>
      <c r="B98" s="2"/>
      <c r="C98" s="2" t="s">
        <v>29</v>
      </c>
      <c r="D98" s="2" t="s">
        <v>11</v>
      </c>
      <c r="E98" s="2" t="s">
        <v>8</v>
      </c>
      <c r="F98" s="2">
        <v>1.0</v>
      </c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 t="s">
        <v>94</v>
      </c>
      <c r="B99" s="2"/>
      <c r="C99" s="2" t="s">
        <v>96</v>
      </c>
      <c r="D99" s="2" t="s">
        <v>11</v>
      </c>
      <c r="E99" s="2" t="s">
        <v>8</v>
      </c>
      <c r="F99" s="2">
        <v>1.0</v>
      </c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 t="s">
        <v>94</v>
      </c>
      <c r="B100" s="2"/>
      <c r="C100" s="2" t="s">
        <v>97</v>
      </c>
      <c r="D100" s="2" t="s">
        <v>11</v>
      </c>
      <c r="E100" s="2" t="s">
        <v>8</v>
      </c>
      <c r="F100" s="2">
        <v>1.0</v>
      </c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 t="s">
        <v>94</v>
      </c>
      <c r="B101" s="2"/>
      <c r="C101" s="2" t="s">
        <v>25</v>
      </c>
      <c r="D101" s="2" t="s">
        <v>11</v>
      </c>
      <c r="E101" s="2" t="s">
        <v>8</v>
      </c>
      <c r="F101" s="2">
        <v>1.0</v>
      </c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 t="s">
        <v>94</v>
      </c>
      <c r="B102" s="2"/>
      <c r="C102" s="2" t="s">
        <v>98</v>
      </c>
      <c r="D102" s="2" t="s">
        <v>11</v>
      </c>
      <c r="E102" s="2" t="s">
        <v>8</v>
      </c>
      <c r="F102" s="2">
        <v>1.0</v>
      </c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 t="s">
        <v>99</v>
      </c>
      <c r="B103" s="2">
        <v>1.0</v>
      </c>
      <c r="C103" s="2"/>
      <c r="D103" s="2"/>
      <c r="E103" s="2" t="s">
        <v>8</v>
      </c>
      <c r="F103" s="2">
        <v>2.0</v>
      </c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 t="s">
        <v>100</v>
      </c>
      <c r="B104" s="2">
        <v>1.0</v>
      </c>
      <c r="C104" s="2"/>
      <c r="D104" s="2" t="s">
        <v>11</v>
      </c>
      <c r="E104" s="2" t="s">
        <v>8</v>
      </c>
      <c r="F104" s="2">
        <v>2.0</v>
      </c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 t="s">
        <v>100</v>
      </c>
      <c r="B105" s="2"/>
      <c r="C105" s="2" t="s">
        <v>101</v>
      </c>
      <c r="D105" s="2" t="s">
        <v>11</v>
      </c>
      <c r="E105" s="2" t="s">
        <v>8</v>
      </c>
      <c r="F105" s="2">
        <v>1.0</v>
      </c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 t="s">
        <v>100</v>
      </c>
      <c r="B106" s="2"/>
      <c r="C106" s="2" t="s">
        <v>102</v>
      </c>
      <c r="D106" s="2" t="s">
        <v>11</v>
      </c>
      <c r="E106" s="2" t="s">
        <v>8</v>
      </c>
      <c r="F106" s="2">
        <v>1.0</v>
      </c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 t="s">
        <v>103</v>
      </c>
      <c r="B107" s="2">
        <v>1.0</v>
      </c>
      <c r="C107" s="2" t="s">
        <v>14</v>
      </c>
      <c r="D107" s="2" t="s">
        <v>11</v>
      </c>
      <c r="E107" s="2" t="s">
        <v>8</v>
      </c>
      <c r="F107" s="2">
        <v>1.0</v>
      </c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 t="s">
        <v>104</v>
      </c>
      <c r="B108" s="2">
        <v>1.0</v>
      </c>
      <c r="C108" s="2"/>
      <c r="D108" s="2" t="s">
        <v>11</v>
      </c>
      <c r="E108" s="2" t="s">
        <v>8</v>
      </c>
      <c r="F108" s="2">
        <v>1.0</v>
      </c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 t="s">
        <v>105</v>
      </c>
      <c r="B109" s="2">
        <v>1.0</v>
      </c>
      <c r="C109" s="2"/>
      <c r="D109" s="2"/>
      <c r="E109" s="2" t="s">
        <v>8</v>
      </c>
      <c r="F109" s="2">
        <v>1.0</v>
      </c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 t="s">
        <v>106</v>
      </c>
      <c r="B110" s="2">
        <v>1.0</v>
      </c>
      <c r="C110" s="2"/>
      <c r="D110" s="2" t="s">
        <v>11</v>
      </c>
      <c r="E110" s="2" t="s">
        <v>8</v>
      </c>
      <c r="F110" s="2">
        <v>1.0</v>
      </c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 t="s">
        <v>107</v>
      </c>
      <c r="B111" s="2">
        <v>1.0</v>
      </c>
      <c r="C111" s="2"/>
      <c r="D111" s="2"/>
      <c r="E111" s="2" t="s">
        <v>8</v>
      </c>
      <c r="F111" s="2">
        <v>1.0</v>
      </c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 t="s">
        <v>108</v>
      </c>
      <c r="B112" s="2">
        <v>1.0</v>
      </c>
      <c r="C112" s="2"/>
      <c r="D112" s="2" t="s">
        <v>11</v>
      </c>
      <c r="E112" s="2" t="s">
        <v>8</v>
      </c>
      <c r="F112" s="2">
        <v>2.0</v>
      </c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 t="s">
        <v>109</v>
      </c>
      <c r="B113" s="2">
        <v>1.0</v>
      </c>
      <c r="C113" s="2" t="s">
        <v>110</v>
      </c>
      <c r="D113" s="2" t="s">
        <v>11</v>
      </c>
      <c r="E113" s="2" t="s">
        <v>8</v>
      </c>
      <c r="F113" s="2">
        <v>1.0</v>
      </c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 t="s">
        <v>111</v>
      </c>
      <c r="B114" s="2">
        <v>1.0</v>
      </c>
      <c r="C114" s="2"/>
      <c r="D114" s="2" t="s">
        <v>11</v>
      </c>
      <c r="E114" s="2" t="s">
        <v>8</v>
      </c>
      <c r="F114" s="2">
        <v>1.0</v>
      </c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 t="s">
        <v>112</v>
      </c>
      <c r="B115" s="2">
        <v>1.0</v>
      </c>
      <c r="C115" s="2"/>
      <c r="D115" s="2"/>
      <c r="E115" s="2" t="s">
        <v>8</v>
      </c>
      <c r="F115" s="2">
        <v>1.0</v>
      </c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 t="s">
        <v>113</v>
      </c>
      <c r="B116" s="2">
        <v>1.0</v>
      </c>
      <c r="C116" s="2"/>
      <c r="D116" s="2"/>
      <c r="E116" s="2" t="s">
        <v>8</v>
      </c>
      <c r="F116" s="2">
        <v>1.0</v>
      </c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 t="s">
        <v>114</v>
      </c>
      <c r="B117" s="2">
        <v>1.0</v>
      </c>
      <c r="C117" s="2" t="s">
        <v>97</v>
      </c>
      <c r="D117" s="2" t="s">
        <v>11</v>
      </c>
      <c r="E117" s="2" t="s">
        <v>8</v>
      </c>
      <c r="F117" s="2">
        <v>1.0</v>
      </c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 t="s">
        <v>114</v>
      </c>
      <c r="B118" s="2"/>
      <c r="C118" s="2" t="s">
        <v>115</v>
      </c>
      <c r="D118" s="2" t="s">
        <v>11</v>
      </c>
      <c r="E118" s="2" t="s">
        <v>8</v>
      </c>
      <c r="F118" s="2">
        <v>1.0</v>
      </c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 t="s">
        <v>114</v>
      </c>
      <c r="B119" s="2"/>
      <c r="C119" s="2" t="s">
        <v>10</v>
      </c>
      <c r="D119" s="2" t="s">
        <v>11</v>
      </c>
      <c r="E119" s="2" t="s">
        <v>8</v>
      </c>
      <c r="F119" s="2">
        <v>1.0</v>
      </c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 t="s">
        <v>114</v>
      </c>
      <c r="B120" s="2"/>
      <c r="C120" s="2" t="s">
        <v>41</v>
      </c>
      <c r="D120" s="2" t="s">
        <v>11</v>
      </c>
      <c r="E120" s="2" t="s">
        <v>8</v>
      </c>
      <c r="F120" s="2">
        <v>1.0</v>
      </c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 t="s">
        <v>116</v>
      </c>
      <c r="B121" s="2">
        <v>1.0</v>
      </c>
      <c r="C121" s="2" t="s">
        <v>117</v>
      </c>
      <c r="D121" s="2" t="s">
        <v>11</v>
      </c>
      <c r="E121" s="2" t="s">
        <v>8</v>
      </c>
      <c r="F121" s="2">
        <v>1.0</v>
      </c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 t="s">
        <v>118</v>
      </c>
      <c r="B122" s="2">
        <v>1.0</v>
      </c>
      <c r="C122" s="2"/>
      <c r="D122" s="2"/>
      <c r="E122" s="2" t="s">
        <v>8</v>
      </c>
      <c r="F122" s="2">
        <v>1.0</v>
      </c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 t="s">
        <v>119</v>
      </c>
      <c r="B123" s="2">
        <v>1.0</v>
      </c>
      <c r="C123" s="2"/>
      <c r="D123" s="2" t="s">
        <v>11</v>
      </c>
      <c r="E123" s="2" t="s">
        <v>8</v>
      </c>
      <c r="F123" s="2">
        <v>1.0</v>
      </c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 t="s">
        <v>120</v>
      </c>
      <c r="B124" s="2">
        <v>1.0</v>
      </c>
      <c r="C124" s="2"/>
      <c r="D124" s="2" t="s">
        <v>11</v>
      </c>
      <c r="E124" s="2" t="s">
        <v>8</v>
      </c>
      <c r="F124" s="2">
        <v>1.0</v>
      </c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 t="s">
        <v>121</v>
      </c>
      <c r="B125" s="2">
        <v>1.0</v>
      </c>
      <c r="C125" s="2"/>
      <c r="D125" s="2" t="s">
        <v>11</v>
      </c>
      <c r="E125" s="2" t="s">
        <v>8</v>
      </c>
      <c r="F125" s="2">
        <v>1.0</v>
      </c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 t="s">
        <v>122</v>
      </c>
      <c r="B126" s="2">
        <v>1.0</v>
      </c>
      <c r="C126" s="2"/>
      <c r="D126" s="2"/>
      <c r="E126" s="2" t="s">
        <v>8</v>
      </c>
      <c r="F126" s="2">
        <v>2.0</v>
      </c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 t="s">
        <v>122</v>
      </c>
      <c r="B127" s="2"/>
      <c r="C127" s="2"/>
      <c r="D127" s="2" t="s">
        <v>11</v>
      </c>
      <c r="E127" s="2" t="s">
        <v>8</v>
      </c>
      <c r="F127" s="2">
        <v>2.0</v>
      </c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 t="s">
        <v>123</v>
      </c>
      <c r="B128" s="2">
        <v>1.0</v>
      </c>
      <c r="C128" s="2" t="s">
        <v>124</v>
      </c>
      <c r="D128" s="2" t="s">
        <v>11</v>
      </c>
      <c r="E128" s="2" t="s">
        <v>8</v>
      </c>
      <c r="F128" s="2">
        <v>1.0</v>
      </c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 t="s">
        <v>123</v>
      </c>
      <c r="B129" s="2"/>
      <c r="C129" s="2" t="s">
        <v>54</v>
      </c>
      <c r="D129" s="2" t="s">
        <v>11</v>
      </c>
      <c r="E129" s="2" t="s">
        <v>8</v>
      </c>
      <c r="F129" s="2">
        <v>1.0</v>
      </c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 t="s">
        <v>123</v>
      </c>
      <c r="B130" s="2"/>
      <c r="C130" s="2" t="s">
        <v>125</v>
      </c>
      <c r="D130" s="2" t="s">
        <v>11</v>
      </c>
      <c r="E130" s="2" t="s">
        <v>8</v>
      </c>
      <c r="F130" s="2">
        <v>1.0</v>
      </c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 t="s">
        <v>126</v>
      </c>
      <c r="B131" s="2">
        <v>1.0</v>
      </c>
      <c r="C131" s="2"/>
      <c r="D131" s="2" t="s">
        <v>11</v>
      </c>
      <c r="E131" s="2" t="s">
        <v>8</v>
      </c>
      <c r="F131" s="2">
        <v>1.0</v>
      </c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 t="s">
        <v>127</v>
      </c>
      <c r="B132" s="2"/>
      <c r="C132" s="2" t="s">
        <v>35</v>
      </c>
      <c r="D132" s="2" t="s">
        <v>11</v>
      </c>
      <c r="E132" s="2" t="s">
        <v>8</v>
      </c>
      <c r="F132" s="2">
        <v>1.0</v>
      </c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 t="s">
        <v>128</v>
      </c>
      <c r="B133" s="2">
        <v>1.0</v>
      </c>
      <c r="C133" s="2"/>
      <c r="D133" s="2"/>
      <c r="E133" s="2" t="s">
        <v>8</v>
      </c>
      <c r="F133" s="2">
        <v>2.0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 t="s">
        <v>128</v>
      </c>
      <c r="B134" s="2"/>
      <c r="C134" s="2" t="s">
        <v>41</v>
      </c>
      <c r="D134" s="2" t="s">
        <v>11</v>
      </c>
      <c r="E134" s="2" t="s">
        <v>8</v>
      </c>
      <c r="F134" s="2">
        <v>2.0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 t="s">
        <v>128</v>
      </c>
      <c r="B135" s="2"/>
      <c r="C135" s="2" t="s">
        <v>39</v>
      </c>
      <c r="D135" s="2" t="s">
        <v>11</v>
      </c>
      <c r="E135" s="2" t="s">
        <v>8</v>
      </c>
      <c r="F135" s="2">
        <v>1.0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 t="s">
        <v>129</v>
      </c>
      <c r="B136" s="2">
        <v>1.0</v>
      </c>
      <c r="C136" s="2"/>
      <c r="D136" s="2" t="s">
        <v>11</v>
      </c>
      <c r="E136" s="2" t="s">
        <v>8</v>
      </c>
      <c r="F136" s="2">
        <v>1.0</v>
      </c>
      <c r="G136" s="2">
        <f>SUM(F4:F136)</f>
        <v>147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0" t="s">
        <v>130</v>
      </c>
      <c r="B137" s="9">
        <v>1.0</v>
      </c>
      <c r="C137" s="2"/>
      <c r="D137" s="2"/>
      <c r="E137" s="11" t="s">
        <v>131</v>
      </c>
      <c r="F137" s="9">
        <v>1.0</v>
      </c>
      <c r="G137" s="9">
        <v>1.0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2">
        <v>361.0</v>
      </c>
      <c r="B138" s="2">
        <v>1.0</v>
      </c>
      <c r="C138" s="2" t="s">
        <v>10</v>
      </c>
      <c r="D138" s="2" t="s">
        <v>11</v>
      </c>
      <c r="E138" s="2" t="s">
        <v>132</v>
      </c>
      <c r="F138" s="2">
        <v>1.0</v>
      </c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2" t="s">
        <v>133</v>
      </c>
      <c r="B139" s="2">
        <v>1.0</v>
      </c>
      <c r="C139" s="2" t="s">
        <v>134</v>
      </c>
      <c r="D139" s="2" t="s">
        <v>11</v>
      </c>
      <c r="E139" s="2" t="s">
        <v>132</v>
      </c>
      <c r="F139" s="2">
        <v>1.0</v>
      </c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 t="s">
        <v>135</v>
      </c>
      <c r="B140" s="2">
        <v>1.0</v>
      </c>
      <c r="C140" s="2"/>
      <c r="D140" s="2"/>
      <c r="E140" s="2" t="s">
        <v>132</v>
      </c>
      <c r="F140" s="2">
        <v>2.0</v>
      </c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 t="s">
        <v>135</v>
      </c>
      <c r="B141" s="2"/>
      <c r="C141" s="2"/>
      <c r="D141" s="2" t="s">
        <v>11</v>
      </c>
      <c r="E141" s="2" t="s">
        <v>132</v>
      </c>
      <c r="F141" s="2">
        <v>2.0</v>
      </c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 t="s">
        <v>135</v>
      </c>
      <c r="B142" s="2"/>
      <c r="C142" s="2" t="s">
        <v>136</v>
      </c>
      <c r="D142" s="2" t="s">
        <v>11</v>
      </c>
      <c r="E142" s="2" t="s">
        <v>132</v>
      </c>
      <c r="F142" s="2">
        <v>2.0</v>
      </c>
      <c r="G142" s="2" t="s">
        <v>80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 t="s">
        <v>135</v>
      </c>
      <c r="B143" s="2"/>
      <c r="C143" s="2" t="s">
        <v>137</v>
      </c>
      <c r="D143" s="2" t="s">
        <v>11</v>
      </c>
      <c r="E143" s="2" t="s">
        <v>132</v>
      </c>
      <c r="F143" s="2">
        <v>1.0</v>
      </c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 t="s">
        <v>135</v>
      </c>
      <c r="B144" s="2"/>
      <c r="C144" s="2" t="s">
        <v>138</v>
      </c>
      <c r="D144" s="2" t="s">
        <v>11</v>
      </c>
      <c r="E144" s="2" t="s">
        <v>132</v>
      </c>
      <c r="F144" s="2">
        <v>1.0</v>
      </c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 t="s">
        <v>135</v>
      </c>
      <c r="B145" s="2"/>
      <c r="C145" s="2" t="s">
        <v>139</v>
      </c>
      <c r="D145" s="2" t="s">
        <v>11</v>
      </c>
      <c r="E145" s="2" t="s">
        <v>132</v>
      </c>
      <c r="F145" s="2">
        <v>1.0</v>
      </c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 t="s">
        <v>135</v>
      </c>
      <c r="B146" s="2"/>
      <c r="C146" s="2" t="s">
        <v>140</v>
      </c>
      <c r="D146" s="2" t="s">
        <v>11</v>
      </c>
      <c r="E146" s="2" t="s">
        <v>132</v>
      </c>
      <c r="F146" s="2">
        <v>1.0</v>
      </c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 t="s">
        <v>135</v>
      </c>
      <c r="B147" s="2"/>
      <c r="C147" s="2" t="s">
        <v>141</v>
      </c>
      <c r="D147" s="2" t="s">
        <v>11</v>
      </c>
      <c r="E147" s="2" t="s">
        <v>132</v>
      </c>
      <c r="F147" s="2">
        <v>1.0</v>
      </c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 t="s">
        <v>135</v>
      </c>
      <c r="B148" s="2"/>
      <c r="C148" s="2" t="s">
        <v>142</v>
      </c>
      <c r="D148" s="2" t="s">
        <v>11</v>
      </c>
      <c r="E148" s="2" t="s">
        <v>132</v>
      </c>
      <c r="F148" s="2">
        <v>1.0</v>
      </c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 t="s">
        <v>135</v>
      </c>
      <c r="B149" s="2"/>
      <c r="C149" s="2" t="s">
        <v>143</v>
      </c>
      <c r="D149" s="2" t="s">
        <v>11</v>
      </c>
      <c r="E149" s="2" t="s">
        <v>132</v>
      </c>
      <c r="F149" s="2">
        <v>1.0</v>
      </c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 t="s">
        <v>144</v>
      </c>
      <c r="B150" s="2">
        <v>1.0</v>
      </c>
      <c r="C150" s="2" t="s">
        <v>145</v>
      </c>
      <c r="D150" s="2" t="s">
        <v>11</v>
      </c>
      <c r="E150" s="2" t="s">
        <v>132</v>
      </c>
      <c r="F150" s="2">
        <v>1.0</v>
      </c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 t="s">
        <v>144</v>
      </c>
      <c r="B151" s="2"/>
      <c r="C151" s="2" t="s">
        <v>146</v>
      </c>
      <c r="D151" s="2" t="s">
        <v>11</v>
      </c>
      <c r="E151" s="2" t="s">
        <v>132</v>
      </c>
      <c r="F151" s="2">
        <v>1.0</v>
      </c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 t="s">
        <v>144</v>
      </c>
      <c r="B152" s="2"/>
      <c r="C152" s="2" t="s">
        <v>147</v>
      </c>
      <c r="D152" s="2" t="s">
        <v>11</v>
      </c>
      <c r="E152" s="2" t="s">
        <v>132</v>
      </c>
      <c r="F152" s="2">
        <v>1.0</v>
      </c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 t="s">
        <v>144</v>
      </c>
      <c r="B153" s="2"/>
      <c r="C153" s="2" t="s">
        <v>148</v>
      </c>
      <c r="D153" s="2" t="s">
        <v>11</v>
      </c>
      <c r="E153" s="2" t="s">
        <v>132</v>
      </c>
      <c r="F153" s="2">
        <v>1.0</v>
      </c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 t="s">
        <v>144</v>
      </c>
      <c r="B154" s="2"/>
      <c r="C154" s="2" t="s">
        <v>149</v>
      </c>
      <c r="D154" s="2" t="s">
        <v>11</v>
      </c>
      <c r="E154" s="2" t="s">
        <v>132</v>
      </c>
      <c r="F154" s="2">
        <v>1.0</v>
      </c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 t="s">
        <v>144</v>
      </c>
      <c r="B155" s="2"/>
      <c r="C155" s="2" t="s">
        <v>92</v>
      </c>
      <c r="D155" s="2" t="s">
        <v>11</v>
      </c>
      <c r="E155" s="2" t="s">
        <v>132</v>
      </c>
      <c r="F155" s="2">
        <v>1.0</v>
      </c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 t="s">
        <v>150</v>
      </c>
      <c r="B156" s="2">
        <v>1.0</v>
      </c>
      <c r="C156" s="2" t="s">
        <v>151</v>
      </c>
      <c r="D156" s="2" t="s">
        <v>11</v>
      </c>
      <c r="E156" s="2" t="s">
        <v>132</v>
      </c>
      <c r="F156" s="2">
        <v>1.0</v>
      </c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 t="s">
        <v>152</v>
      </c>
      <c r="B157" s="2">
        <v>1.0</v>
      </c>
      <c r="C157" s="2" t="s">
        <v>153</v>
      </c>
      <c r="D157" s="2" t="s">
        <v>11</v>
      </c>
      <c r="E157" s="2" t="s">
        <v>132</v>
      </c>
      <c r="F157" s="2">
        <v>1.0</v>
      </c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 t="s">
        <v>152</v>
      </c>
      <c r="B158" s="2"/>
      <c r="C158" s="2" t="s">
        <v>154</v>
      </c>
      <c r="D158" s="2" t="s">
        <v>11</v>
      </c>
      <c r="E158" s="2" t="s">
        <v>132</v>
      </c>
      <c r="F158" s="2">
        <v>1.0</v>
      </c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 t="s">
        <v>152</v>
      </c>
      <c r="B159" s="2"/>
      <c r="C159" s="2" t="s">
        <v>155</v>
      </c>
      <c r="D159" s="2" t="s">
        <v>11</v>
      </c>
      <c r="E159" s="2" t="s">
        <v>132</v>
      </c>
      <c r="F159" s="2">
        <v>1.0</v>
      </c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 t="s">
        <v>152</v>
      </c>
      <c r="B160" s="2"/>
      <c r="C160" s="2" t="s">
        <v>156</v>
      </c>
      <c r="D160" s="2" t="s">
        <v>11</v>
      </c>
      <c r="E160" s="2" t="s">
        <v>132</v>
      </c>
      <c r="F160" s="2">
        <v>1.0</v>
      </c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 t="s">
        <v>157</v>
      </c>
      <c r="B161" s="2">
        <v>1.0</v>
      </c>
      <c r="C161" s="2" t="s">
        <v>158</v>
      </c>
      <c r="D161" s="2" t="s">
        <v>11</v>
      </c>
      <c r="E161" s="2" t="s">
        <v>132</v>
      </c>
      <c r="F161" s="2">
        <v>1.0</v>
      </c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 t="s">
        <v>157</v>
      </c>
      <c r="B162" s="2"/>
      <c r="C162" s="2" t="s">
        <v>159</v>
      </c>
      <c r="D162" s="2" t="s">
        <v>11</v>
      </c>
      <c r="E162" s="2" t="s">
        <v>132</v>
      </c>
      <c r="F162" s="2">
        <v>1.0</v>
      </c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 t="s">
        <v>160</v>
      </c>
      <c r="B163" s="2">
        <v>1.0</v>
      </c>
      <c r="C163" s="2"/>
      <c r="D163" s="2"/>
      <c r="E163" s="2" t="s">
        <v>132</v>
      </c>
      <c r="F163" s="2">
        <v>3.0</v>
      </c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2" t="s">
        <v>160</v>
      </c>
      <c r="B164" s="2"/>
      <c r="C164" s="2" t="s">
        <v>161</v>
      </c>
      <c r="D164" s="2" t="s">
        <v>11</v>
      </c>
      <c r="E164" s="2" t="s">
        <v>132</v>
      </c>
      <c r="F164" s="2">
        <v>1.0</v>
      </c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2" t="s">
        <v>160</v>
      </c>
      <c r="B165" s="2"/>
      <c r="C165" s="2" t="s">
        <v>162</v>
      </c>
      <c r="D165" s="2" t="s">
        <v>11</v>
      </c>
      <c r="E165" s="2" t="s">
        <v>132</v>
      </c>
      <c r="F165" s="2">
        <v>1.0</v>
      </c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 t="s">
        <v>163</v>
      </c>
      <c r="B166" s="2">
        <v>1.0</v>
      </c>
      <c r="C166" s="2" t="s">
        <v>147</v>
      </c>
      <c r="D166" s="2" t="s">
        <v>11</v>
      </c>
      <c r="E166" s="2" t="s">
        <v>132</v>
      </c>
      <c r="F166" s="2">
        <v>1.0</v>
      </c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 t="s">
        <v>163</v>
      </c>
      <c r="B167" s="2"/>
      <c r="C167" s="2" t="s">
        <v>164</v>
      </c>
      <c r="D167" s="2" t="s">
        <v>11</v>
      </c>
      <c r="E167" s="2" t="s">
        <v>132</v>
      </c>
      <c r="F167" s="2">
        <v>1.0</v>
      </c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 t="s">
        <v>165</v>
      </c>
      <c r="B168" s="2">
        <v>1.0</v>
      </c>
      <c r="C168" s="2" t="s">
        <v>83</v>
      </c>
      <c r="D168" s="2" t="s">
        <v>11</v>
      </c>
      <c r="E168" s="2" t="s">
        <v>132</v>
      </c>
      <c r="F168" s="2">
        <v>1.0</v>
      </c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 t="s">
        <v>165</v>
      </c>
      <c r="B169" s="2"/>
      <c r="C169" s="2" t="s">
        <v>147</v>
      </c>
      <c r="D169" s="2" t="s">
        <v>11</v>
      </c>
      <c r="E169" s="2" t="s">
        <v>132</v>
      </c>
      <c r="F169" s="2">
        <v>1.0</v>
      </c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 t="s">
        <v>166</v>
      </c>
      <c r="B170" s="2">
        <v>1.0</v>
      </c>
      <c r="C170" s="2" t="s">
        <v>156</v>
      </c>
      <c r="D170" s="2" t="s">
        <v>11</v>
      </c>
      <c r="E170" s="2" t="s">
        <v>132</v>
      </c>
      <c r="F170" s="2">
        <v>1.0</v>
      </c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 t="s">
        <v>166</v>
      </c>
      <c r="B171" s="2"/>
      <c r="C171" s="2" t="s">
        <v>167</v>
      </c>
      <c r="D171" s="2" t="s">
        <v>11</v>
      </c>
      <c r="E171" s="2" t="s">
        <v>132</v>
      </c>
      <c r="F171" s="2">
        <v>1.0</v>
      </c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 t="s">
        <v>168</v>
      </c>
      <c r="B172" s="2">
        <v>1.0</v>
      </c>
      <c r="C172" s="2"/>
      <c r="D172" s="2"/>
      <c r="E172" s="2" t="s">
        <v>132</v>
      </c>
      <c r="F172" s="2">
        <v>4.0</v>
      </c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 t="s">
        <v>168</v>
      </c>
      <c r="B173" s="2"/>
      <c r="C173" s="2"/>
      <c r="D173" s="2" t="s">
        <v>11</v>
      </c>
      <c r="E173" s="2" t="s">
        <v>132</v>
      </c>
      <c r="F173" s="2">
        <v>2.0</v>
      </c>
      <c r="G173" s="2" t="s">
        <v>80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 t="s">
        <v>169</v>
      </c>
      <c r="B174" s="2">
        <v>1.0</v>
      </c>
      <c r="C174" s="2"/>
      <c r="D174" s="2"/>
      <c r="E174" s="2" t="s">
        <v>132</v>
      </c>
      <c r="F174" s="2">
        <v>1.0</v>
      </c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 t="s">
        <v>170</v>
      </c>
      <c r="B175" s="2">
        <v>1.0</v>
      </c>
      <c r="C175" s="2"/>
      <c r="D175" s="2"/>
      <c r="E175" s="2" t="s">
        <v>132</v>
      </c>
      <c r="F175" s="2">
        <v>1.0</v>
      </c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 t="s">
        <v>171</v>
      </c>
      <c r="B176" s="2">
        <v>1.0</v>
      </c>
      <c r="C176" s="2" t="s">
        <v>172</v>
      </c>
      <c r="D176" s="2" t="s">
        <v>11</v>
      </c>
      <c r="E176" s="2" t="s">
        <v>132</v>
      </c>
      <c r="F176" s="2">
        <v>1.0</v>
      </c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 t="s">
        <v>173</v>
      </c>
      <c r="B177" s="2">
        <v>1.0</v>
      </c>
      <c r="C177" s="2" t="s">
        <v>174</v>
      </c>
      <c r="D177" s="2" t="s">
        <v>11</v>
      </c>
      <c r="E177" s="2" t="s">
        <v>132</v>
      </c>
      <c r="F177" s="2">
        <v>1.0</v>
      </c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 t="s">
        <v>175</v>
      </c>
      <c r="B178" s="2">
        <v>1.0</v>
      </c>
      <c r="C178" s="2" t="s">
        <v>176</v>
      </c>
      <c r="D178" s="2" t="s">
        <v>11</v>
      </c>
      <c r="E178" s="2" t="s">
        <v>132</v>
      </c>
      <c r="F178" s="2">
        <v>1.0</v>
      </c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 t="s">
        <v>177</v>
      </c>
      <c r="B179" s="2">
        <v>1.0</v>
      </c>
      <c r="C179" s="2" t="s">
        <v>164</v>
      </c>
      <c r="D179" s="2" t="s">
        <v>11</v>
      </c>
      <c r="E179" s="2" t="s">
        <v>132</v>
      </c>
      <c r="F179" s="2">
        <v>1.0</v>
      </c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 t="s">
        <v>177</v>
      </c>
      <c r="B180" s="2"/>
      <c r="C180" s="2" t="s">
        <v>178</v>
      </c>
      <c r="D180" s="2" t="s">
        <v>11</v>
      </c>
      <c r="E180" s="2" t="s">
        <v>132</v>
      </c>
      <c r="F180" s="2">
        <v>1.0</v>
      </c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 t="s">
        <v>179</v>
      </c>
      <c r="B181" s="2">
        <v>1.0</v>
      </c>
      <c r="C181" s="2"/>
      <c r="D181" s="2"/>
      <c r="E181" s="2" t="s">
        <v>132</v>
      </c>
      <c r="F181" s="2">
        <v>1.0</v>
      </c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 t="s">
        <v>180</v>
      </c>
      <c r="B182" s="2">
        <v>1.0</v>
      </c>
      <c r="C182" s="2"/>
      <c r="D182" s="2" t="s">
        <v>11</v>
      </c>
      <c r="E182" s="2" t="s">
        <v>132</v>
      </c>
      <c r="F182" s="2">
        <v>2.0</v>
      </c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 t="s">
        <v>180</v>
      </c>
      <c r="B183" s="2"/>
      <c r="C183" s="2" t="s">
        <v>181</v>
      </c>
      <c r="D183" s="2" t="s">
        <v>11</v>
      </c>
      <c r="E183" s="2" t="s">
        <v>132</v>
      </c>
      <c r="F183" s="2">
        <v>1.0</v>
      </c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 t="s">
        <v>180</v>
      </c>
      <c r="B184" s="2"/>
      <c r="C184" s="2" t="s">
        <v>182</v>
      </c>
      <c r="D184" s="2" t="s">
        <v>11</v>
      </c>
      <c r="E184" s="2" t="s">
        <v>132</v>
      </c>
      <c r="F184" s="2">
        <v>1.0</v>
      </c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 t="s">
        <v>180</v>
      </c>
      <c r="B185" s="2"/>
      <c r="C185" s="2" t="s">
        <v>183</v>
      </c>
      <c r="D185" s="2" t="s">
        <v>11</v>
      </c>
      <c r="E185" s="2" t="s">
        <v>132</v>
      </c>
      <c r="F185" s="2">
        <v>1.0</v>
      </c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 t="s">
        <v>180</v>
      </c>
      <c r="B186" s="2"/>
      <c r="C186" s="2" t="s">
        <v>184</v>
      </c>
      <c r="D186" s="2" t="s">
        <v>11</v>
      </c>
      <c r="E186" s="2" t="s">
        <v>132</v>
      </c>
      <c r="F186" s="2">
        <v>1.0</v>
      </c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 t="s">
        <v>180</v>
      </c>
      <c r="B187" s="2"/>
      <c r="C187" s="2" t="s">
        <v>185</v>
      </c>
      <c r="D187" s="2" t="s">
        <v>11</v>
      </c>
      <c r="E187" s="2" t="s">
        <v>132</v>
      </c>
      <c r="F187" s="2">
        <v>1.0</v>
      </c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 t="s">
        <v>186</v>
      </c>
      <c r="B188" s="2">
        <v>1.0</v>
      </c>
      <c r="C188" s="2"/>
      <c r="D188" s="2"/>
      <c r="E188" s="2" t="s">
        <v>132</v>
      </c>
      <c r="F188" s="2">
        <v>3.0</v>
      </c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 t="s">
        <v>186</v>
      </c>
      <c r="B189" s="2"/>
      <c r="C189" s="2" t="s">
        <v>35</v>
      </c>
      <c r="D189" s="2"/>
      <c r="E189" s="2" t="s">
        <v>132</v>
      </c>
      <c r="F189" s="2">
        <v>1.0</v>
      </c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 t="s">
        <v>186</v>
      </c>
      <c r="B190" s="2"/>
      <c r="C190" s="2"/>
      <c r="D190" s="2" t="s">
        <v>11</v>
      </c>
      <c r="E190" s="2" t="s">
        <v>132</v>
      </c>
      <c r="F190" s="2">
        <v>1.0</v>
      </c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 t="s">
        <v>187</v>
      </c>
      <c r="B191" s="2">
        <v>1.0</v>
      </c>
      <c r="C191" s="2" t="s">
        <v>188</v>
      </c>
      <c r="D191" s="2" t="s">
        <v>11</v>
      </c>
      <c r="E191" s="2" t="s">
        <v>132</v>
      </c>
      <c r="F191" s="2">
        <v>1.0</v>
      </c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 t="s">
        <v>189</v>
      </c>
      <c r="B192" s="2">
        <v>1.0</v>
      </c>
      <c r="C192" s="2" t="s">
        <v>190</v>
      </c>
      <c r="D192" s="2" t="s">
        <v>11</v>
      </c>
      <c r="E192" s="2" t="s">
        <v>132</v>
      </c>
      <c r="F192" s="2">
        <v>1.0</v>
      </c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 t="s">
        <v>191</v>
      </c>
      <c r="B193" s="2">
        <v>1.0</v>
      </c>
      <c r="C193" s="2" t="s">
        <v>192</v>
      </c>
      <c r="D193" s="2" t="s">
        <v>11</v>
      </c>
      <c r="E193" s="2" t="s">
        <v>132</v>
      </c>
      <c r="F193" s="2">
        <v>1.0</v>
      </c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 t="s">
        <v>191</v>
      </c>
      <c r="B194" s="2"/>
      <c r="C194" s="2" t="s">
        <v>193</v>
      </c>
      <c r="D194" s="2" t="s">
        <v>11</v>
      </c>
      <c r="E194" s="2" t="s">
        <v>132</v>
      </c>
      <c r="F194" s="2">
        <v>1.0</v>
      </c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 t="s">
        <v>191</v>
      </c>
      <c r="B195" s="2"/>
      <c r="C195" s="2" t="s">
        <v>194</v>
      </c>
      <c r="D195" s="2" t="s">
        <v>11</v>
      </c>
      <c r="E195" s="2" t="s">
        <v>132</v>
      </c>
      <c r="F195" s="2">
        <v>1.0</v>
      </c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 t="s">
        <v>10</v>
      </c>
      <c r="B196" s="2">
        <v>1.0</v>
      </c>
      <c r="C196" s="2"/>
      <c r="D196" s="2"/>
      <c r="E196" s="2" t="s">
        <v>132</v>
      </c>
      <c r="F196" s="2">
        <v>1.0</v>
      </c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 t="s">
        <v>195</v>
      </c>
      <c r="B197" s="2">
        <v>1.0</v>
      </c>
      <c r="C197" s="2"/>
      <c r="D197" s="2"/>
      <c r="E197" s="2" t="s">
        <v>132</v>
      </c>
      <c r="F197" s="2">
        <v>1.0</v>
      </c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 t="s">
        <v>196</v>
      </c>
      <c r="B198" s="2">
        <v>1.0</v>
      </c>
      <c r="C198" s="2"/>
      <c r="D198" s="2" t="s">
        <v>11</v>
      </c>
      <c r="E198" s="2" t="s">
        <v>132</v>
      </c>
      <c r="F198" s="2">
        <v>1.0</v>
      </c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 t="s">
        <v>196</v>
      </c>
      <c r="B199" s="2"/>
      <c r="C199" s="2" t="s">
        <v>197</v>
      </c>
      <c r="D199" s="2" t="s">
        <v>11</v>
      </c>
      <c r="E199" s="2" t="s">
        <v>132</v>
      </c>
      <c r="F199" s="2">
        <v>1.0</v>
      </c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 t="s">
        <v>198</v>
      </c>
      <c r="B200" s="2">
        <v>1.0</v>
      </c>
      <c r="C200" s="2" t="s">
        <v>199</v>
      </c>
      <c r="D200" s="2" t="s">
        <v>11</v>
      </c>
      <c r="E200" s="2" t="s">
        <v>132</v>
      </c>
      <c r="F200" s="2">
        <v>1.0</v>
      </c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 t="s">
        <v>200</v>
      </c>
      <c r="B201" s="2">
        <v>1.0</v>
      </c>
      <c r="C201" s="2"/>
      <c r="D201" s="2"/>
      <c r="E201" s="2" t="s">
        <v>132</v>
      </c>
      <c r="F201" s="2">
        <v>2.0</v>
      </c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 t="s">
        <v>200</v>
      </c>
      <c r="B202" s="2"/>
      <c r="C202" s="2" t="s">
        <v>136</v>
      </c>
      <c r="D202" s="2" t="s">
        <v>11</v>
      </c>
      <c r="E202" s="2" t="s">
        <v>132</v>
      </c>
      <c r="F202" s="2">
        <v>1.0</v>
      </c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 t="s">
        <v>201</v>
      </c>
      <c r="B203" s="2">
        <v>1.0</v>
      </c>
      <c r="C203" s="2" t="s">
        <v>164</v>
      </c>
      <c r="D203" s="2" t="s">
        <v>11</v>
      </c>
      <c r="E203" s="2" t="s">
        <v>132</v>
      </c>
      <c r="F203" s="2">
        <v>1.0</v>
      </c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 t="s">
        <v>201</v>
      </c>
      <c r="B204" s="2"/>
      <c r="C204" s="2" t="s">
        <v>197</v>
      </c>
      <c r="D204" s="2" t="s">
        <v>11</v>
      </c>
      <c r="E204" s="2" t="s">
        <v>132</v>
      </c>
      <c r="F204" s="2">
        <v>1.0</v>
      </c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 t="s">
        <v>202</v>
      </c>
      <c r="B205" s="2">
        <v>1.0</v>
      </c>
      <c r="C205" s="2" t="s">
        <v>203</v>
      </c>
      <c r="D205" s="2" t="s">
        <v>11</v>
      </c>
      <c r="E205" s="2" t="s">
        <v>132</v>
      </c>
      <c r="F205" s="2">
        <v>1.0</v>
      </c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 t="s">
        <v>202</v>
      </c>
      <c r="B206" s="2"/>
      <c r="C206" s="2" t="s">
        <v>134</v>
      </c>
      <c r="D206" s="2" t="s">
        <v>11</v>
      </c>
      <c r="E206" s="2" t="s">
        <v>132</v>
      </c>
      <c r="F206" s="2">
        <v>1.0</v>
      </c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 t="s">
        <v>202</v>
      </c>
      <c r="B207" s="2"/>
      <c r="C207" s="2" t="s">
        <v>204</v>
      </c>
      <c r="D207" s="2" t="s">
        <v>11</v>
      </c>
      <c r="E207" s="2" t="s">
        <v>132</v>
      </c>
      <c r="F207" s="2">
        <v>1.0</v>
      </c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 t="s">
        <v>202</v>
      </c>
      <c r="B208" s="2"/>
      <c r="C208" s="2" t="s">
        <v>153</v>
      </c>
      <c r="D208" s="2" t="s">
        <v>11</v>
      </c>
      <c r="E208" s="2" t="s">
        <v>132</v>
      </c>
      <c r="F208" s="2">
        <v>1.0</v>
      </c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 t="s">
        <v>202</v>
      </c>
      <c r="B209" s="2"/>
      <c r="C209" s="2" t="s">
        <v>205</v>
      </c>
      <c r="D209" s="2" t="s">
        <v>11</v>
      </c>
      <c r="E209" s="2" t="s">
        <v>132</v>
      </c>
      <c r="F209" s="2">
        <v>1.0</v>
      </c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 t="s">
        <v>206</v>
      </c>
      <c r="B210" s="2">
        <v>1.0</v>
      </c>
      <c r="C210" s="2"/>
      <c r="D210" s="2"/>
      <c r="E210" s="2" t="s">
        <v>132</v>
      </c>
      <c r="F210" s="2">
        <v>1.0</v>
      </c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 t="s">
        <v>207</v>
      </c>
      <c r="B211" s="2">
        <v>1.0</v>
      </c>
      <c r="C211" s="2"/>
      <c r="D211" s="2"/>
      <c r="E211" s="2" t="s">
        <v>132</v>
      </c>
      <c r="F211" s="2">
        <v>1.0</v>
      </c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 t="s">
        <v>207</v>
      </c>
      <c r="B212" s="2"/>
      <c r="C212" s="2"/>
      <c r="D212" s="2" t="s">
        <v>11</v>
      </c>
      <c r="E212" s="2" t="s">
        <v>132</v>
      </c>
      <c r="F212" s="2">
        <v>1.0</v>
      </c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 t="s">
        <v>208</v>
      </c>
      <c r="B213" s="2">
        <v>1.0</v>
      </c>
      <c r="C213" s="2" t="s">
        <v>192</v>
      </c>
      <c r="D213" s="2" t="s">
        <v>11</v>
      </c>
      <c r="E213" s="2" t="s">
        <v>132</v>
      </c>
      <c r="F213" s="2">
        <v>1.0</v>
      </c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 t="s">
        <v>208</v>
      </c>
      <c r="B214" s="2"/>
      <c r="C214" s="2" t="s">
        <v>209</v>
      </c>
      <c r="D214" s="2" t="s">
        <v>11</v>
      </c>
      <c r="E214" s="2" t="s">
        <v>132</v>
      </c>
      <c r="F214" s="2">
        <v>1.0</v>
      </c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 t="s">
        <v>208</v>
      </c>
      <c r="B215" s="2"/>
      <c r="C215" s="2" t="s">
        <v>92</v>
      </c>
      <c r="D215" s="2" t="s">
        <v>11</v>
      </c>
      <c r="E215" s="2" t="s">
        <v>132</v>
      </c>
      <c r="F215" s="2">
        <v>1.0</v>
      </c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 t="s">
        <v>208</v>
      </c>
      <c r="B216" s="2"/>
      <c r="C216" s="2" t="s">
        <v>164</v>
      </c>
      <c r="D216" s="2" t="s">
        <v>11</v>
      </c>
      <c r="E216" s="2" t="s">
        <v>132</v>
      </c>
      <c r="F216" s="2">
        <v>1.0</v>
      </c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 t="s">
        <v>208</v>
      </c>
      <c r="B217" s="2"/>
      <c r="C217" s="2" t="s">
        <v>181</v>
      </c>
      <c r="D217" s="2" t="s">
        <v>11</v>
      </c>
      <c r="E217" s="2" t="s">
        <v>132</v>
      </c>
      <c r="F217" s="2">
        <v>1.0</v>
      </c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 t="s">
        <v>210</v>
      </c>
      <c r="B218" s="2">
        <v>1.0</v>
      </c>
      <c r="C218" s="2" t="s">
        <v>211</v>
      </c>
      <c r="D218" s="2" t="s">
        <v>11</v>
      </c>
      <c r="E218" s="2" t="s">
        <v>132</v>
      </c>
      <c r="F218" s="2">
        <v>1.0</v>
      </c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 t="s">
        <v>210</v>
      </c>
      <c r="B219" s="2"/>
      <c r="C219" s="2" t="s">
        <v>164</v>
      </c>
      <c r="D219" s="2" t="s">
        <v>11</v>
      </c>
      <c r="E219" s="2" t="s">
        <v>132</v>
      </c>
      <c r="F219" s="2">
        <v>1.0</v>
      </c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 t="s">
        <v>212</v>
      </c>
      <c r="B220" s="2">
        <v>1.0</v>
      </c>
      <c r="C220" s="2" t="s">
        <v>213</v>
      </c>
      <c r="D220" s="2" t="s">
        <v>11</v>
      </c>
      <c r="E220" s="2" t="s">
        <v>132</v>
      </c>
      <c r="F220" s="2">
        <v>1.0</v>
      </c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 t="s">
        <v>212</v>
      </c>
      <c r="B221" s="2"/>
      <c r="C221" s="2" t="s">
        <v>183</v>
      </c>
      <c r="D221" s="2" t="s">
        <v>11</v>
      </c>
      <c r="E221" s="2" t="s">
        <v>132</v>
      </c>
      <c r="F221" s="2">
        <v>1.0</v>
      </c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 t="s">
        <v>212</v>
      </c>
      <c r="B222" s="2"/>
      <c r="C222" s="2" t="s">
        <v>214</v>
      </c>
      <c r="D222" s="2" t="s">
        <v>11</v>
      </c>
      <c r="E222" s="2" t="s">
        <v>132</v>
      </c>
      <c r="F222" s="2">
        <v>1.0</v>
      </c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 t="s">
        <v>212</v>
      </c>
      <c r="B223" s="2"/>
      <c r="C223" s="2" t="s">
        <v>215</v>
      </c>
      <c r="D223" s="2" t="s">
        <v>11</v>
      </c>
      <c r="E223" s="2" t="s">
        <v>132</v>
      </c>
      <c r="F223" s="2">
        <v>1.0</v>
      </c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 t="s">
        <v>212</v>
      </c>
      <c r="B224" s="2"/>
      <c r="C224" s="2" t="s">
        <v>92</v>
      </c>
      <c r="D224" s="2" t="s">
        <v>11</v>
      </c>
      <c r="E224" s="2" t="s">
        <v>132</v>
      </c>
      <c r="F224" s="2">
        <v>1.0</v>
      </c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 t="s">
        <v>212</v>
      </c>
      <c r="B225" s="2"/>
      <c r="C225" s="2" t="s">
        <v>216</v>
      </c>
      <c r="D225" s="2" t="s">
        <v>11</v>
      </c>
      <c r="E225" s="2" t="s">
        <v>132</v>
      </c>
      <c r="F225" s="2">
        <v>1.0</v>
      </c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 t="s">
        <v>212</v>
      </c>
      <c r="B226" s="2"/>
      <c r="C226" s="2" t="s">
        <v>217</v>
      </c>
      <c r="D226" s="2" t="s">
        <v>11</v>
      </c>
      <c r="E226" s="2" t="s">
        <v>132</v>
      </c>
      <c r="F226" s="2">
        <v>1.0</v>
      </c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 t="s">
        <v>212</v>
      </c>
      <c r="B227" s="2"/>
      <c r="C227" s="2" t="s">
        <v>218</v>
      </c>
      <c r="D227" s="2" t="s">
        <v>11</v>
      </c>
      <c r="E227" s="2" t="s">
        <v>132</v>
      </c>
      <c r="F227" s="2">
        <v>1.0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 t="s">
        <v>212</v>
      </c>
      <c r="B228" s="2"/>
      <c r="C228" s="2" t="s">
        <v>219</v>
      </c>
      <c r="D228" s="2" t="s">
        <v>11</v>
      </c>
      <c r="E228" s="2" t="s">
        <v>132</v>
      </c>
      <c r="F228" s="2">
        <v>1.0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 t="s">
        <v>212</v>
      </c>
      <c r="B229" s="2"/>
      <c r="C229" s="2" t="s">
        <v>220</v>
      </c>
      <c r="D229" s="2" t="s">
        <v>11</v>
      </c>
      <c r="E229" s="2" t="s">
        <v>132</v>
      </c>
      <c r="F229" s="2">
        <v>1.0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 t="s">
        <v>212</v>
      </c>
      <c r="B230" s="2"/>
      <c r="C230" s="2" t="s">
        <v>221</v>
      </c>
      <c r="D230" s="2"/>
      <c r="E230" s="2" t="s">
        <v>132</v>
      </c>
      <c r="F230" s="2">
        <v>1.0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 t="s">
        <v>212</v>
      </c>
      <c r="B231" s="2"/>
      <c r="C231" s="2" t="s">
        <v>222</v>
      </c>
      <c r="D231" s="2" t="s">
        <v>11</v>
      </c>
      <c r="E231" s="2" t="s">
        <v>132</v>
      </c>
      <c r="F231" s="2">
        <v>1.0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 t="s">
        <v>212</v>
      </c>
      <c r="B232" s="2"/>
      <c r="C232" s="2" t="s">
        <v>223</v>
      </c>
      <c r="D232" s="2" t="s">
        <v>11</v>
      </c>
      <c r="E232" s="2" t="s">
        <v>132</v>
      </c>
      <c r="F232" s="2">
        <v>1.0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 t="s">
        <v>212</v>
      </c>
      <c r="B233" s="2"/>
      <c r="C233" s="2" t="s">
        <v>224</v>
      </c>
      <c r="D233" s="2" t="s">
        <v>11</v>
      </c>
      <c r="E233" s="2" t="s">
        <v>132</v>
      </c>
      <c r="F233" s="2">
        <v>1.0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 t="s">
        <v>212</v>
      </c>
      <c r="B234" s="2"/>
      <c r="C234" s="2" t="s">
        <v>225</v>
      </c>
      <c r="D234" s="2" t="s">
        <v>11</v>
      </c>
      <c r="E234" s="2" t="s">
        <v>132</v>
      </c>
      <c r="F234" s="2">
        <v>1.0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 t="s">
        <v>212</v>
      </c>
      <c r="B235" s="2"/>
      <c r="C235" s="2" t="s">
        <v>226</v>
      </c>
      <c r="D235" s="2" t="s">
        <v>11</v>
      </c>
      <c r="E235" s="2" t="s">
        <v>132</v>
      </c>
      <c r="F235" s="2">
        <v>1.0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 t="s">
        <v>227</v>
      </c>
      <c r="B236" s="2">
        <v>1.0</v>
      </c>
      <c r="C236" s="2" t="s">
        <v>228</v>
      </c>
      <c r="D236" s="2" t="s">
        <v>11</v>
      </c>
      <c r="E236" s="2" t="s">
        <v>132</v>
      </c>
      <c r="F236" s="2">
        <v>1.0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 t="s">
        <v>227</v>
      </c>
      <c r="B237" s="2"/>
      <c r="C237" s="2" t="s">
        <v>229</v>
      </c>
      <c r="D237" s="2" t="s">
        <v>11</v>
      </c>
      <c r="E237" s="2" t="s">
        <v>132</v>
      </c>
      <c r="F237" s="2">
        <v>1.0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 t="s">
        <v>227</v>
      </c>
      <c r="B238" s="2"/>
      <c r="C238" s="2" t="s">
        <v>230</v>
      </c>
      <c r="D238" s="2" t="s">
        <v>11</v>
      </c>
      <c r="E238" s="2" t="s">
        <v>132</v>
      </c>
      <c r="F238" s="2">
        <v>1.0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 t="s">
        <v>227</v>
      </c>
      <c r="B239" s="2"/>
      <c r="C239" s="2" t="s">
        <v>231</v>
      </c>
      <c r="D239" s="2" t="s">
        <v>11</v>
      </c>
      <c r="E239" s="2" t="s">
        <v>132</v>
      </c>
      <c r="F239" s="2">
        <v>1.0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 t="s">
        <v>227</v>
      </c>
      <c r="B240" s="2"/>
      <c r="C240" s="2" t="s">
        <v>47</v>
      </c>
      <c r="D240" s="2" t="s">
        <v>11</v>
      </c>
      <c r="E240" s="2" t="s">
        <v>132</v>
      </c>
      <c r="F240" s="2">
        <v>1.0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 t="s">
        <v>227</v>
      </c>
      <c r="B241" s="2"/>
      <c r="C241" s="2" t="s">
        <v>232</v>
      </c>
      <c r="D241" s="2" t="s">
        <v>11</v>
      </c>
      <c r="E241" s="2" t="s">
        <v>132</v>
      </c>
      <c r="F241" s="2">
        <v>1.0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 t="s">
        <v>227</v>
      </c>
      <c r="B242" s="2"/>
      <c r="C242" s="2" t="s">
        <v>233</v>
      </c>
      <c r="D242" s="2" t="s">
        <v>11</v>
      </c>
      <c r="E242" s="2" t="s">
        <v>132</v>
      </c>
      <c r="F242" s="2">
        <v>1.0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 t="s">
        <v>227</v>
      </c>
      <c r="B243" s="2"/>
      <c r="C243" s="2" t="s">
        <v>234</v>
      </c>
      <c r="D243" s="2" t="s">
        <v>11</v>
      </c>
      <c r="E243" s="2" t="s">
        <v>132</v>
      </c>
      <c r="F243" s="2">
        <v>1.0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 t="s">
        <v>227</v>
      </c>
      <c r="B244" s="2"/>
      <c r="C244" s="2" t="s">
        <v>235</v>
      </c>
      <c r="D244" s="2" t="s">
        <v>11</v>
      </c>
      <c r="E244" s="2" t="s">
        <v>132</v>
      </c>
      <c r="F244" s="2">
        <v>1.0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 t="s">
        <v>227</v>
      </c>
      <c r="B245" s="2"/>
      <c r="C245" s="2" t="s">
        <v>236</v>
      </c>
      <c r="D245" s="2" t="s">
        <v>11</v>
      </c>
      <c r="E245" s="2" t="s">
        <v>132</v>
      </c>
      <c r="F245" s="2">
        <v>1.0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 t="s">
        <v>227</v>
      </c>
      <c r="B246" s="2"/>
      <c r="C246" s="2" t="s">
        <v>237</v>
      </c>
      <c r="D246" s="2" t="s">
        <v>11</v>
      </c>
      <c r="E246" s="2" t="s">
        <v>132</v>
      </c>
      <c r="F246" s="2">
        <v>1.0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 t="s">
        <v>238</v>
      </c>
      <c r="B247" s="2"/>
      <c r="C247" s="2" t="s">
        <v>239</v>
      </c>
      <c r="D247" s="2" t="s">
        <v>11</v>
      </c>
      <c r="E247" s="2" t="s">
        <v>132</v>
      </c>
      <c r="F247" s="2">
        <v>1.0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 t="s">
        <v>227</v>
      </c>
      <c r="B248" s="2"/>
      <c r="C248" s="2" t="s">
        <v>240</v>
      </c>
      <c r="D248" s="2" t="s">
        <v>11</v>
      </c>
      <c r="E248" s="2" t="s">
        <v>132</v>
      </c>
      <c r="F248" s="2">
        <v>1.0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 t="s">
        <v>227</v>
      </c>
      <c r="B249" s="2"/>
      <c r="C249" s="2" t="s">
        <v>183</v>
      </c>
      <c r="D249" s="2" t="s">
        <v>11</v>
      </c>
      <c r="E249" s="2" t="s">
        <v>132</v>
      </c>
      <c r="F249" s="2">
        <v>1.0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 t="s">
        <v>241</v>
      </c>
      <c r="B250" s="2">
        <v>1.0</v>
      </c>
      <c r="C250" s="2" t="s">
        <v>17</v>
      </c>
      <c r="D250" s="2" t="s">
        <v>11</v>
      </c>
      <c r="E250" s="2" t="s">
        <v>132</v>
      </c>
      <c r="F250" s="2">
        <v>1.0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 t="s">
        <v>242</v>
      </c>
      <c r="B251" s="2">
        <v>1.0</v>
      </c>
      <c r="C251" s="2"/>
      <c r="D251" s="2"/>
      <c r="E251" s="2" t="s">
        <v>132</v>
      </c>
      <c r="F251" s="2">
        <v>10.0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 t="s">
        <v>242</v>
      </c>
      <c r="B252" s="2"/>
      <c r="C252" s="2" t="s">
        <v>243</v>
      </c>
      <c r="D252" s="2"/>
      <c r="E252" s="2" t="s">
        <v>132</v>
      </c>
      <c r="F252" s="2">
        <v>1.0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 t="s">
        <v>242</v>
      </c>
      <c r="B253" s="2"/>
      <c r="C253" s="2" t="s">
        <v>244</v>
      </c>
      <c r="D253" s="2"/>
      <c r="E253" s="2" t="s">
        <v>132</v>
      </c>
      <c r="F253" s="2">
        <v>1.0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 t="s">
        <v>242</v>
      </c>
      <c r="B254" s="2"/>
      <c r="C254" s="2" t="s">
        <v>245</v>
      </c>
      <c r="D254" s="2"/>
      <c r="E254" s="2" t="s">
        <v>132</v>
      </c>
      <c r="F254" s="2">
        <v>1.0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 t="s">
        <v>242</v>
      </c>
      <c r="B255" s="2"/>
      <c r="C255" s="2"/>
      <c r="D255" s="2" t="s">
        <v>11</v>
      </c>
      <c r="E255" s="2" t="s">
        <v>132</v>
      </c>
      <c r="F255" s="2">
        <v>3.0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 t="s">
        <v>242</v>
      </c>
      <c r="B256" s="2"/>
      <c r="C256" s="2">
        <v>1890.0</v>
      </c>
      <c r="D256" s="2" t="s">
        <v>11</v>
      </c>
      <c r="E256" s="2" t="s">
        <v>132</v>
      </c>
      <c r="F256" s="2">
        <v>1.0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 t="s">
        <v>242</v>
      </c>
      <c r="B257" s="2"/>
      <c r="C257" s="2" t="s">
        <v>17</v>
      </c>
      <c r="D257" s="2" t="s">
        <v>11</v>
      </c>
      <c r="E257" s="2" t="s">
        <v>132</v>
      </c>
      <c r="F257" s="2">
        <v>2.0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 t="s">
        <v>242</v>
      </c>
      <c r="B258" s="2"/>
      <c r="C258" s="2" t="s">
        <v>246</v>
      </c>
      <c r="D258" s="2" t="s">
        <v>11</v>
      </c>
      <c r="E258" s="2" t="s">
        <v>132</v>
      </c>
      <c r="F258" s="2">
        <v>1.0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 t="s">
        <v>242</v>
      </c>
      <c r="B259" s="2"/>
      <c r="C259" s="2" t="s">
        <v>223</v>
      </c>
      <c r="D259" s="2" t="s">
        <v>11</v>
      </c>
      <c r="E259" s="2" t="s">
        <v>132</v>
      </c>
      <c r="F259" s="2">
        <v>1.0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 t="s">
        <v>242</v>
      </c>
      <c r="B260" s="2"/>
      <c r="C260" s="2" t="s">
        <v>243</v>
      </c>
      <c r="D260" s="2" t="s">
        <v>11</v>
      </c>
      <c r="E260" s="2" t="s">
        <v>132</v>
      </c>
      <c r="F260" s="2">
        <v>1.0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 t="s">
        <v>242</v>
      </c>
      <c r="B261" s="2"/>
      <c r="C261" s="2" t="s">
        <v>247</v>
      </c>
      <c r="D261" s="2" t="s">
        <v>11</v>
      </c>
      <c r="E261" s="2" t="s">
        <v>132</v>
      </c>
      <c r="F261" s="2">
        <v>1.0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 t="s">
        <v>242</v>
      </c>
      <c r="B262" s="2"/>
      <c r="C262" s="2" t="s">
        <v>248</v>
      </c>
      <c r="D262" s="2" t="s">
        <v>11</v>
      </c>
      <c r="E262" s="2" t="s">
        <v>132</v>
      </c>
      <c r="F262" s="2">
        <v>1.0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 t="s">
        <v>242</v>
      </c>
      <c r="B263" s="2"/>
      <c r="C263" s="2" t="s">
        <v>92</v>
      </c>
      <c r="D263" s="2" t="s">
        <v>11</v>
      </c>
      <c r="E263" s="2" t="s">
        <v>132</v>
      </c>
      <c r="F263" s="2">
        <v>1.0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 t="s">
        <v>242</v>
      </c>
      <c r="B264" s="2"/>
      <c r="C264" s="2" t="s">
        <v>249</v>
      </c>
      <c r="D264" s="2" t="s">
        <v>11</v>
      </c>
      <c r="E264" s="2" t="s">
        <v>132</v>
      </c>
      <c r="F264" s="2">
        <v>1.0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 t="s">
        <v>242</v>
      </c>
      <c r="B265" s="2"/>
      <c r="C265" s="2" t="s">
        <v>250</v>
      </c>
      <c r="D265" s="2" t="s">
        <v>11</v>
      </c>
      <c r="E265" s="2" t="s">
        <v>132</v>
      </c>
      <c r="F265" s="2">
        <v>1.0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 t="s">
        <v>242</v>
      </c>
      <c r="B266" s="2"/>
      <c r="C266" s="2" t="s">
        <v>251</v>
      </c>
      <c r="D266" s="2" t="s">
        <v>11</v>
      </c>
      <c r="E266" s="2" t="s">
        <v>132</v>
      </c>
      <c r="F266" s="2">
        <v>1.0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 t="s">
        <v>252</v>
      </c>
      <c r="B267" s="2">
        <v>1.0</v>
      </c>
      <c r="C267" s="2" t="s">
        <v>185</v>
      </c>
      <c r="D267" s="2" t="s">
        <v>11</v>
      </c>
      <c r="E267" s="2" t="s">
        <v>132</v>
      </c>
      <c r="F267" s="2">
        <v>1.0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 t="s">
        <v>252</v>
      </c>
      <c r="B268" s="2"/>
      <c r="C268" s="2" t="s">
        <v>253</v>
      </c>
      <c r="D268" s="2" t="s">
        <v>11</v>
      </c>
      <c r="E268" s="2" t="s">
        <v>132</v>
      </c>
      <c r="F268" s="2">
        <v>1.0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 t="s">
        <v>252</v>
      </c>
      <c r="B269" s="2"/>
      <c r="C269" s="2" t="s">
        <v>92</v>
      </c>
      <c r="D269" s="2" t="s">
        <v>11</v>
      </c>
      <c r="E269" s="2" t="s">
        <v>132</v>
      </c>
      <c r="F269" s="2">
        <v>1.0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 t="s">
        <v>252</v>
      </c>
      <c r="B270" s="2"/>
      <c r="C270" s="2" t="s">
        <v>254</v>
      </c>
      <c r="D270" s="2" t="s">
        <v>11</v>
      </c>
      <c r="E270" s="2" t="s">
        <v>132</v>
      </c>
      <c r="F270" s="2">
        <v>1.0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 t="s">
        <v>252</v>
      </c>
      <c r="B271" s="2"/>
      <c r="C271" s="2" t="s">
        <v>158</v>
      </c>
      <c r="D271" s="2" t="s">
        <v>11</v>
      </c>
      <c r="E271" s="2" t="s">
        <v>132</v>
      </c>
      <c r="F271" s="2">
        <v>1.0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 t="s">
        <v>252</v>
      </c>
      <c r="B272" s="2"/>
      <c r="C272" s="2" t="s">
        <v>255</v>
      </c>
      <c r="D272" s="2" t="s">
        <v>11</v>
      </c>
      <c r="E272" s="2" t="s">
        <v>132</v>
      </c>
      <c r="F272" s="2">
        <v>1.0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 t="s">
        <v>256</v>
      </c>
      <c r="B273" s="2">
        <v>1.0</v>
      </c>
      <c r="C273" s="2"/>
      <c r="D273" s="2"/>
      <c r="E273" s="2" t="s">
        <v>132</v>
      </c>
      <c r="F273" s="2">
        <v>2.0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 t="s">
        <v>256</v>
      </c>
      <c r="B274" s="2"/>
      <c r="C274" s="2"/>
      <c r="D274" s="2" t="s">
        <v>11</v>
      </c>
      <c r="E274" s="2" t="s">
        <v>132</v>
      </c>
      <c r="F274" s="2">
        <v>2.0</v>
      </c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 t="s">
        <v>256</v>
      </c>
      <c r="B275" s="2"/>
      <c r="C275" s="2" t="s">
        <v>138</v>
      </c>
      <c r="D275" s="2" t="s">
        <v>11</v>
      </c>
      <c r="E275" s="2" t="s">
        <v>132</v>
      </c>
      <c r="F275" s="2">
        <v>1.0</v>
      </c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 t="s">
        <v>257</v>
      </c>
      <c r="B276" s="2"/>
      <c r="C276" s="2" t="s">
        <v>137</v>
      </c>
      <c r="D276" s="2" t="s">
        <v>11</v>
      </c>
      <c r="E276" s="2" t="s">
        <v>132</v>
      </c>
      <c r="F276" s="2">
        <v>1.0</v>
      </c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 t="s">
        <v>257</v>
      </c>
      <c r="B277" s="2"/>
      <c r="C277" s="2" t="s">
        <v>136</v>
      </c>
      <c r="D277" s="2" t="s">
        <v>11</v>
      </c>
      <c r="E277" s="2" t="s">
        <v>132</v>
      </c>
      <c r="F277" s="2">
        <v>1.0</v>
      </c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 t="s">
        <v>257</v>
      </c>
      <c r="B278" s="2"/>
      <c r="C278" s="2" t="s">
        <v>258</v>
      </c>
      <c r="D278" s="2" t="s">
        <v>11</v>
      </c>
      <c r="E278" s="2" t="s">
        <v>132</v>
      </c>
      <c r="F278" s="2">
        <v>1.0</v>
      </c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 t="s">
        <v>257</v>
      </c>
      <c r="B279" s="2"/>
      <c r="C279" s="2" t="s">
        <v>149</v>
      </c>
      <c r="D279" s="2" t="s">
        <v>11</v>
      </c>
      <c r="E279" s="2" t="s">
        <v>132</v>
      </c>
      <c r="F279" s="2">
        <v>1.0</v>
      </c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 t="s">
        <v>259</v>
      </c>
      <c r="B280" s="2">
        <v>1.0</v>
      </c>
      <c r="C280" s="2"/>
      <c r="D280" s="2"/>
      <c r="E280" s="2" t="s">
        <v>132</v>
      </c>
      <c r="F280" s="2">
        <v>2.0</v>
      </c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 t="s">
        <v>259</v>
      </c>
      <c r="B281" s="2"/>
      <c r="C281" s="2" t="s">
        <v>83</v>
      </c>
      <c r="D281" s="2" t="s">
        <v>11</v>
      </c>
      <c r="E281" s="2" t="s">
        <v>132</v>
      </c>
      <c r="F281" s="2">
        <v>2.0</v>
      </c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 t="s">
        <v>260</v>
      </c>
      <c r="B282" s="2">
        <v>1.0</v>
      </c>
      <c r="C282" s="2"/>
      <c r="D282" s="2" t="s">
        <v>11</v>
      </c>
      <c r="E282" s="2" t="s">
        <v>132</v>
      </c>
      <c r="F282" s="2">
        <v>2.0</v>
      </c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 t="s">
        <v>260</v>
      </c>
      <c r="B283" s="2"/>
      <c r="C283" s="2" t="s">
        <v>137</v>
      </c>
      <c r="D283" s="2" t="s">
        <v>11</v>
      </c>
      <c r="E283" s="2" t="s">
        <v>132</v>
      </c>
      <c r="F283" s="2">
        <v>1.0</v>
      </c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 t="s">
        <v>260</v>
      </c>
      <c r="B284" s="2"/>
      <c r="C284" s="2" t="s">
        <v>138</v>
      </c>
      <c r="D284" s="2" t="s">
        <v>11</v>
      </c>
      <c r="E284" s="2" t="s">
        <v>132</v>
      </c>
      <c r="F284" s="2">
        <v>1.0</v>
      </c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 t="s">
        <v>260</v>
      </c>
      <c r="B285" s="2"/>
      <c r="C285" s="2" t="s">
        <v>261</v>
      </c>
      <c r="D285" s="2" t="s">
        <v>11</v>
      </c>
      <c r="E285" s="2" t="s">
        <v>132</v>
      </c>
      <c r="F285" s="2">
        <v>1.0</v>
      </c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 t="s">
        <v>260</v>
      </c>
      <c r="B286" s="2"/>
      <c r="C286" s="2"/>
      <c r="D286" s="2"/>
      <c r="E286" s="2" t="s">
        <v>132</v>
      </c>
      <c r="F286" s="2">
        <v>4.0</v>
      </c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 t="s">
        <v>262</v>
      </c>
      <c r="B287" s="2">
        <v>1.0</v>
      </c>
      <c r="C287" s="2" t="s">
        <v>263</v>
      </c>
      <c r="D287" s="2" t="s">
        <v>11</v>
      </c>
      <c r="E287" s="2" t="s">
        <v>132</v>
      </c>
      <c r="F287" s="2">
        <v>1.0</v>
      </c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 t="s">
        <v>262</v>
      </c>
      <c r="B288" s="2"/>
      <c r="C288" s="2" t="s">
        <v>92</v>
      </c>
      <c r="D288" s="2" t="s">
        <v>11</v>
      </c>
      <c r="E288" s="2" t="s">
        <v>132</v>
      </c>
      <c r="F288" s="2">
        <v>1.0</v>
      </c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 t="s">
        <v>264</v>
      </c>
      <c r="B289" s="2">
        <v>1.0</v>
      </c>
      <c r="C289" s="2" t="s">
        <v>164</v>
      </c>
      <c r="D289" s="2" t="s">
        <v>11</v>
      </c>
      <c r="E289" s="2" t="s">
        <v>132</v>
      </c>
      <c r="F289" s="2">
        <v>1.0</v>
      </c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 t="s">
        <v>264</v>
      </c>
      <c r="B290" s="2"/>
      <c r="C290" s="2" t="s">
        <v>153</v>
      </c>
      <c r="D290" s="2" t="s">
        <v>11</v>
      </c>
      <c r="E290" s="2" t="s">
        <v>132</v>
      </c>
      <c r="F290" s="2">
        <v>1.0</v>
      </c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 t="s">
        <v>264</v>
      </c>
      <c r="B291" s="2"/>
      <c r="C291" s="2" t="s">
        <v>92</v>
      </c>
      <c r="D291" s="2" t="s">
        <v>11</v>
      </c>
      <c r="E291" s="2" t="s">
        <v>132</v>
      </c>
      <c r="F291" s="2">
        <v>1.0</v>
      </c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 t="s">
        <v>265</v>
      </c>
      <c r="B292" s="2">
        <v>1.0</v>
      </c>
      <c r="C292" s="2" t="s">
        <v>204</v>
      </c>
      <c r="D292" s="2" t="s">
        <v>11</v>
      </c>
      <c r="E292" s="2" t="s">
        <v>132</v>
      </c>
      <c r="F292" s="2">
        <v>1.0</v>
      </c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 t="s">
        <v>265</v>
      </c>
      <c r="B293" s="2"/>
      <c r="C293" s="2" t="s">
        <v>266</v>
      </c>
      <c r="D293" s="2" t="s">
        <v>11</v>
      </c>
      <c r="E293" s="2" t="s">
        <v>132</v>
      </c>
      <c r="F293" s="2">
        <v>1.0</v>
      </c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 t="s">
        <v>265</v>
      </c>
      <c r="B294" s="2"/>
      <c r="C294" s="2" t="s">
        <v>267</v>
      </c>
      <c r="D294" s="2" t="s">
        <v>11</v>
      </c>
      <c r="E294" s="2" t="s">
        <v>132</v>
      </c>
      <c r="F294" s="2">
        <v>1.0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 t="s">
        <v>268</v>
      </c>
      <c r="B295" s="2">
        <v>1.0</v>
      </c>
      <c r="C295" s="2"/>
      <c r="D295" s="2" t="s">
        <v>11</v>
      </c>
      <c r="E295" s="2" t="s">
        <v>132</v>
      </c>
      <c r="F295" s="2">
        <v>1.0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 t="s">
        <v>269</v>
      </c>
      <c r="B296" s="2"/>
      <c r="C296" s="2"/>
      <c r="D296" s="2" t="s">
        <v>11</v>
      </c>
      <c r="E296" s="2" t="s">
        <v>132</v>
      </c>
      <c r="F296" s="2">
        <v>1.0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 t="s">
        <v>270</v>
      </c>
      <c r="B297" s="2"/>
      <c r="C297" s="2"/>
      <c r="D297" s="2" t="s">
        <v>11</v>
      </c>
      <c r="E297" s="2" t="s">
        <v>132</v>
      </c>
      <c r="F297" s="2">
        <v>1.0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 t="s">
        <v>271</v>
      </c>
      <c r="B298" s="2">
        <v>1.0</v>
      </c>
      <c r="C298" s="2" t="s">
        <v>272</v>
      </c>
      <c r="D298" s="2" t="s">
        <v>11</v>
      </c>
      <c r="E298" s="2" t="s">
        <v>132</v>
      </c>
      <c r="F298" s="2">
        <v>1.0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 t="s">
        <v>273</v>
      </c>
      <c r="B299" s="2">
        <v>1.0</v>
      </c>
      <c r="C299" s="2" t="s">
        <v>185</v>
      </c>
      <c r="D299" s="2" t="s">
        <v>11</v>
      </c>
      <c r="E299" s="2" t="s">
        <v>132</v>
      </c>
      <c r="F299" s="2">
        <v>1.0</v>
      </c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 t="s">
        <v>273</v>
      </c>
      <c r="B300" s="2"/>
      <c r="C300" s="2" t="s">
        <v>92</v>
      </c>
      <c r="D300" s="2" t="s">
        <v>11</v>
      </c>
      <c r="E300" s="2" t="s">
        <v>132</v>
      </c>
      <c r="F300" s="2">
        <v>1.0</v>
      </c>
      <c r="G300" s="2">
        <f>SUM(F138:F300)</f>
        <v>196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 t="s">
        <v>274</v>
      </c>
      <c r="B301" s="2">
        <v>1.0</v>
      </c>
      <c r="C301" s="2"/>
      <c r="D301" s="2"/>
      <c r="E301" s="2" t="s">
        <v>275</v>
      </c>
      <c r="F301" s="2">
        <v>1.0</v>
      </c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 t="s">
        <v>276</v>
      </c>
      <c r="B302" s="2">
        <v>1.0</v>
      </c>
      <c r="C302" s="2"/>
      <c r="D302" s="2"/>
      <c r="E302" s="2" t="s">
        <v>275</v>
      </c>
      <c r="F302" s="2">
        <v>1.0</v>
      </c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 t="s">
        <v>277</v>
      </c>
      <c r="B303" s="2">
        <v>1.0</v>
      </c>
      <c r="C303" s="2"/>
      <c r="D303" s="2"/>
      <c r="E303" s="2" t="s">
        <v>275</v>
      </c>
      <c r="F303" s="2">
        <v>1.0</v>
      </c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8" t="s">
        <v>103</v>
      </c>
      <c r="B304" s="9">
        <v>1.0</v>
      </c>
      <c r="C304" s="9" t="s">
        <v>22</v>
      </c>
      <c r="D304" s="9" t="s">
        <v>11</v>
      </c>
      <c r="E304" s="9" t="s">
        <v>275</v>
      </c>
      <c r="F304" s="9">
        <v>1.0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8" t="s">
        <v>278</v>
      </c>
      <c r="B305" s="9">
        <v>1.0</v>
      </c>
      <c r="C305" s="2"/>
      <c r="D305" s="9" t="s">
        <v>11</v>
      </c>
      <c r="E305" s="9" t="s">
        <v>275</v>
      </c>
      <c r="F305" s="9">
        <v>1.0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 t="s">
        <v>279</v>
      </c>
      <c r="B306" s="2">
        <v>1.0</v>
      </c>
      <c r="C306" s="2"/>
      <c r="D306" s="2"/>
      <c r="E306" s="2" t="s">
        <v>275</v>
      </c>
      <c r="F306" s="2">
        <v>1.0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 t="s">
        <v>280</v>
      </c>
      <c r="B307" s="2">
        <v>1.0</v>
      </c>
      <c r="C307" s="2"/>
      <c r="D307" s="2" t="s">
        <v>11</v>
      </c>
      <c r="E307" s="2" t="s">
        <v>275</v>
      </c>
      <c r="F307" s="2">
        <v>1.0</v>
      </c>
      <c r="G307" s="2">
        <f>SUM(F301:F307)</f>
        <v>7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 t="s">
        <v>281</v>
      </c>
      <c r="B308" s="2">
        <v>1.0</v>
      </c>
      <c r="C308" s="2" t="s">
        <v>282</v>
      </c>
      <c r="D308" s="2" t="s">
        <v>11</v>
      </c>
      <c r="E308" s="2" t="s">
        <v>283</v>
      </c>
      <c r="F308" s="2">
        <v>1.0</v>
      </c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 t="s">
        <v>284</v>
      </c>
      <c r="B309" s="2">
        <v>1.0</v>
      </c>
      <c r="C309" s="2" t="s">
        <v>285</v>
      </c>
      <c r="D309" s="2" t="s">
        <v>11</v>
      </c>
      <c r="E309" s="2" t="s">
        <v>283</v>
      </c>
      <c r="F309" s="2">
        <v>1.0</v>
      </c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 t="s">
        <v>284</v>
      </c>
      <c r="B310" s="2"/>
      <c r="C310" s="2" t="s">
        <v>286</v>
      </c>
      <c r="D310" s="2" t="s">
        <v>11</v>
      </c>
      <c r="E310" s="2" t="s">
        <v>283</v>
      </c>
      <c r="F310" s="2">
        <v>1.0</v>
      </c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 t="s">
        <v>284</v>
      </c>
      <c r="B311" s="2"/>
      <c r="C311" s="2" t="s">
        <v>287</v>
      </c>
      <c r="D311" s="2" t="s">
        <v>11</v>
      </c>
      <c r="E311" s="2" t="s">
        <v>283</v>
      </c>
      <c r="F311" s="2">
        <v>1.0</v>
      </c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 t="s">
        <v>284</v>
      </c>
      <c r="B312" s="2"/>
      <c r="C312" s="2" t="s">
        <v>288</v>
      </c>
      <c r="D312" s="2" t="s">
        <v>11</v>
      </c>
      <c r="E312" s="2" t="s">
        <v>283</v>
      </c>
      <c r="F312" s="2">
        <v>1.0</v>
      </c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 t="s">
        <v>289</v>
      </c>
      <c r="B313" s="2">
        <v>1.0</v>
      </c>
      <c r="C313" s="2"/>
      <c r="D313" s="2" t="s">
        <v>11</v>
      </c>
      <c r="E313" s="2" t="s">
        <v>283</v>
      </c>
      <c r="F313" s="2">
        <v>1.0</v>
      </c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 t="s">
        <v>290</v>
      </c>
      <c r="B314" s="2">
        <v>1.0</v>
      </c>
      <c r="C314" s="2" t="s">
        <v>291</v>
      </c>
      <c r="D314" s="2"/>
      <c r="E314" s="2" t="s">
        <v>283</v>
      </c>
      <c r="F314" s="2">
        <v>1.0</v>
      </c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 t="s">
        <v>292</v>
      </c>
      <c r="B315" s="2">
        <v>1.0</v>
      </c>
      <c r="C315" s="2"/>
      <c r="D315" s="2" t="s">
        <v>11</v>
      </c>
      <c r="E315" s="2" t="s">
        <v>283</v>
      </c>
      <c r="F315" s="2">
        <v>1.0</v>
      </c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 t="s">
        <v>293</v>
      </c>
      <c r="B316" s="2">
        <v>1.0</v>
      </c>
      <c r="C316" s="1"/>
      <c r="D316" s="2" t="s">
        <v>11</v>
      </c>
      <c r="E316" s="2" t="s">
        <v>283</v>
      </c>
      <c r="F316" s="2">
        <v>1.0</v>
      </c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 t="s">
        <v>293</v>
      </c>
      <c r="B317" s="2"/>
      <c r="C317" s="2" t="s">
        <v>294</v>
      </c>
      <c r="D317" s="2" t="s">
        <v>11</v>
      </c>
      <c r="E317" s="2" t="s">
        <v>283</v>
      </c>
      <c r="F317" s="2">
        <v>1.0</v>
      </c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 t="s">
        <v>295</v>
      </c>
      <c r="B318" s="2">
        <v>1.0</v>
      </c>
      <c r="C318" s="2" t="s">
        <v>282</v>
      </c>
      <c r="D318" s="2" t="s">
        <v>11</v>
      </c>
      <c r="E318" s="2" t="s">
        <v>283</v>
      </c>
      <c r="F318" s="2">
        <v>1.0</v>
      </c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 t="s">
        <v>295</v>
      </c>
      <c r="B319" s="2"/>
      <c r="C319" s="2" t="s">
        <v>296</v>
      </c>
      <c r="D319" s="2" t="s">
        <v>11</v>
      </c>
      <c r="E319" s="2" t="s">
        <v>283</v>
      </c>
      <c r="F319" s="2">
        <v>1.0</v>
      </c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 t="s">
        <v>295</v>
      </c>
      <c r="B320" s="2"/>
      <c r="C320" s="2" t="s">
        <v>297</v>
      </c>
      <c r="D320" s="2" t="s">
        <v>11</v>
      </c>
      <c r="E320" s="2" t="s">
        <v>283</v>
      </c>
      <c r="F320" s="2">
        <v>1.0</v>
      </c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 t="s">
        <v>298</v>
      </c>
      <c r="B321" s="2">
        <v>1.0</v>
      </c>
      <c r="C321" s="2"/>
      <c r="D321" s="2"/>
      <c r="E321" s="2" t="s">
        <v>283</v>
      </c>
      <c r="F321" s="2">
        <v>1.0</v>
      </c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 t="s">
        <v>299</v>
      </c>
      <c r="B322" s="2">
        <v>1.0</v>
      </c>
      <c r="C322" s="2" t="s">
        <v>300</v>
      </c>
      <c r="D322" s="2" t="s">
        <v>11</v>
      </c>
      <c r="E322" s="2" t="s">
        <v>283</v>
      </c>
      <c r="F322" s="2">
        <v>2.0</v>
      </c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 t="s">
        <v>299</v>
      </c>
      <c r="B323" s="2"/>
      <c r="C323" s="2"/>
      <c r="D323" s="2" t="s">
        <v>11</v>
      </c>
      <c r="E323" s="2" t="s">
        <v>283</v>
      </c>
      <c r="F323" s="2">
        <v>2.0</v>
      </c>
      <c r="G323" s="2" t="s">
        <v>80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 t="s">
        <v>299</v>
      </c>
      <c r="B324" s="2"/>
      <c r="C324" s="2"/>
      <c r="D324" s="2"/>
      <c r="E324" s="2" t="s">
        <v>283</v>
      </c>
      <c r="F324" s="2">
        <v>3.0</v>
      </c>
      <c r="G324" s="2">
        <f>SUM(F308:F324)</f>
        <v>21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 t="s">
        <v>301</v>
      </c>
      <c r="B325" s="2">
        <v>1.0</v>
      </c>
      <c r="C325" s="2"/>
      <c r="D325" s="2"/>
      <c r="E325" s="2" t="s">
        <v>302</v>
      </c>
      <c r="F325" s="2">
        <v>1.0</v>
      </c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 t="s">
        <v>243</v>
      </c>
      <c r="B326" s="2">
        <v>1.0</v>
      </c>
      <c r="C326" s="2"/>
      <c r="D326" s="2" t="s">
        <v>11</v>
      </c>
      <c r="E326" s="2" t="s">
        <v>302</v>
      </c>
      <c r="F326" s="2">
        <v>1.0</v>
      </c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 t="s">
        <v>303</v>
      </c>
      <c r="B327" s="2">
        <v>1.0</v>
      </c>
      <c r="C327" s="2"/>
      <c r="D327" s="2"/>
      <c r="E327" s="2" t="s">
        <v>302</v>
      </c>
      <c r="F327" s="2">
        <v>1.0</v>
      </c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 t="s">
        <v>304</v>
      </c>
      <c r="B328" s="2">
        <v>1.0</v>
      </c>
      <c r="C328" s="2"/>
      <c r="D328" s="2"/>
      <c r="E328" s="2" t="s">
        <v>302</v>
      </c>
      <c r="F328" s="2">
        <v>1.0</v>
      </c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 t="s">
        <v>305</v>
      </c>
      <c r="B329" s="2">
        <v>1.0</v>
      </c>
      <c r="C329" s="2"/>
      <c r="D329" s="2"/>
      <c r="E329" s="2" t="s">
        <v>302</v>
      </c>
      <c r="F329" s="2">
        <v>1.0</v>
      </c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 t="s">
        <v>306</v>
      </c>
      <c r="B330" s="2">
        <v>1.0</v>
      </c>
      <c r="C330" s="2"/>
      <c r="D330" s="2"/>
      <c r="E330" s="2" t="s">
        <v>302</v>
      </c>
      <c r="F330" s="2">
        <v>2.0</v>
      </c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 t="s">
        <v>306</v>
      </c>
      <c r="B331" s="2"/>
      <c r="C331" s="2" t="s">
        <v>115</v>
      </c>
      <c r="D331" s="2"/>
      <c r="E331" s="2" t="s">
        <v>302</v>
      </c>
      <c r="F331" s="2">
        <v>1.0</v>
      </c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 t="s">
        <v>306</v>
      </c>
      <c r="B332" s="2"/>
      <c r="C332" s="2" t="s">
        <v>307</v>
      </c>
      <c r="D332" s="2"/>
      <c r="E332" s="2" t="s">
        <v>302</v>
      </c>
      <c r="F332" s="2">
        <v>1.0</v>
      </c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 t="s">
        <v>306</v>
      </c>
      <c r="B333" s="2"/>
      <c r="C333" s="2" t="s">
        <v>308</v>
      </c>
      <c r="D333" s="2"/>
      <c r="E333" s="2" t="s">
        <v>302</v>
      </c>
      <c r="F333" s="2">
        <v>1.0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 t="s">
        <v>309</v>
      </c>
      <c r="B334" s="2">
        <v>1.0</v>
      </c>
      <c r="C334" s="2"/>
      <c r="D334" s="2"/>
      <c r="E334" s="2" t="s">
        <v>302</v>
      </c>
      <c r="F334" s="2">
        <v>1.0</v>
      </c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 t="s">
        <v>310</v>
      </c>
      <c r="B335" s="2">
        <v>1.0</v>
      </c>
      <c r="C335" s="2"/>
      <c r="D335" s="2"/>
      <c r="E335" s="2" t="s">
        <v>302</v>
      </c>
      <c r="F335" s="2">
        <v>1.0</v>
      </c>
      <c r="G335" s="2">
        <f>SUM(F325:F335)</f>
        <v>12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2">
        <v>1500.0</v>
      </c>
      <c r="B336" s="2">
        <v>1.0</v>
      </c>
      <c r="C336" s="2"/>
      <c r="D336" s="2"/>
      <c r="E336" s="2" t="s">
        <v>311</v>
      </c>
      <c r="F336" s="2">
        <v>1.0</v>
      </c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2" t="s">
        <v>312</v>
      </c>
      <c r="B337" s="2">
        <v>1.0</v>
      </c>
      <c r="C337" s="2"/>
      <c r="D337" s="2"/>
      <c r="E337" s="2" t="s">
        <v>311</v>
      </c>
      <c r="F337" s="2">
        <v>1.0</v>
      </c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 t="s">
        <v>313</v>
      </c>
      <c r="B338" s="2">
        <v>1.0</v>
      </c>
      <c r="C338" s="2"/>
      <c r="D338" s="2"/>
      <c r="E338" s="2" t="s">
        <v>311</v>
      </c>
      <c r="F338" s="2">
        <v>7.0</v>
      </c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 t="s">
        <v>313</v>
      </c>
      <c r="B339" s="2"/>
      <c r="C339" s="2" t="s">
        <v>314</v>
      </c>
      <c r="D339" s="2"/>
      <c r="E339" s="2" t="s">
        <v>311</v>
      </c>
      <c r="F339" s="2">
        <v>1.0</v>
      </c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 t="s">
        <v>313</v>
      </c>
      <c r="B340" s="2"/>
      <c r="C340" s="2" t="s">
        <v>315</v>
      </c>
      <c r="D340" s="2"/>
      <c r="E340" s="2" t="s">
        <v>311</v>
      </c>
      <c r="F340" s="2">
        <v>1.0</v>
      </c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 t="s">
        <v>313</v>
      </c>
      <c r="B341" s="2"/>
      <c r="C341" s="2"/>
      <c r="D341" s="2" t="s">
        <v>11</v>
      </c>
      <c r="E341" s="2" t="s">
        <v>311</v>
      </c>
      <c r="F341" s="2">
        <v>1.0</v>
      </c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 t="s">
        <v>313</v>
      </c>
      <c r="B342" s="2"/>
      <c r="C342" s="2" t="s">
        <v>316</v>
      </c>
      <c r="D342" s="2" t="s">
        <v>11</v>
      </c>
      <c r="E342" s="2" t="s">
        <v>311</v>
      </c>
      <c r="F342" s="2">
        <v>2.0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 t="s">
        <v>317</v>
      </c>
      <c r="B343" s="2">
        <v>1.0</v>
      </c>
      <c r="C343" s="2" t="s">
        <v>167</v>
      </c>
      <c r="D343" s="2" t="s">
        <v>11</v>
      </c>
      <c r="E343" s="2" t="s">
        <v>311</v>
      </c>
      <c r="F343" s="2">
        <v>1.0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 t="s">
        <v>317</v>
      </c>
      <c r="B344" s="2"/>
      <c r="C344" s="2" t="s">
        <v>318</v>
      </c>
      <c r="D344" s="2" t="s">
        <v>11</v>
      </c>
      <c r="E344" s="2" t="s">
        <v>311</v>
      </c>
      <c r="F344" s="2">
        <v>1.0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 t="s">
        <v>317</v>
      </c>
      <c r="B345" s="2"/>
      <c r="C345" s="2" t="s">
        <v>182</v>
      </c>
      <c r="D345" s="2" t="s">
        <v>11</v>
      </c>
      <c r="E345" s="2" t="s">
        <v>311</v>
      </c>
      <c r="F345" s="2">
        <v>1.0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 t="s">
        <v>317</v>
      </c>
      <c r="B346" s="2"/>
      <c r="C346" s="2" t="s">
        <v>154</v>
      </c>
      <c r="D346" s="2" t="s">
        <v>11</v>
      </c>
      <c r="E346" s="2" t="s">
        <v>311</v>
      </c>
      <c r="F346" s="2">
        <v>1.0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 t="s">
        <v>319</v>
      </c>
      <c r="B347" s="2">
        <v>1.0</v>
      </c>
      <c r="C347" s="2" t="s">
        <v>83</v>
      </c>
      <c r="D347" s="2" t="s">
        <v>11</v>
      </c>
      <c r="E347" s="2" t="s">
        <v>311</v>
      </c>
      <c r="F347" s="2">
        <v>1.0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 t="s">
        <v>320</v>
      </c>
      <c r="B348" s="2">
        <v>1.0</v>
      </c>
      <c r="C348" s="2"/>
      <c r="D348" s="2"/>
      <c r="E348" s="2" t="s">
        <v>311</v>
      </c>
      <c r="F348" s="2">
        <v>1.0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 t="s">
        <v>321</v>
      </c>
      <c r="B349" s="2">
        <v>1.0</v>
      </c>
      <c r="C349" s="2"/>
      <c r="D349" s="2"/>
      <c r="E349" s="2" t="s">
        <v>311</v>
      </c>
      <c r="F349" s="2">
        <v>3.0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 t="s">
        <v>321</v>
      </c>
      <c r="B350" s="2"/>
      <c r="C350" s="2" t="s">
        <v>69</v>
      </c>
      <c r="D350" s="2"/>
      <c r="E350" s="2" t="s">
        <v>311</v>
      </c>
      <c r="F350" s="2">
        <v>1.0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 t="s">
        <v>321</v>
      </c>
      <c r="B351" s="2"/>
      <c r="C351" s="2" t="s">
        <v>322</v>
      </c>
      <c r="D351" s="2"/>
      <c r="E351" s="2" t="s">
        <v>311</v>
      </c>
      <c r="F351" s="2">
        <v>1.0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 t="s">
        <v>321</v>
      </c>
      <c r="B352" s="2"/>
      <c r="C352" s="2" t="s">
        <v>247</v>
      </c>
      <c r="D352" s="2"/>
      <c r="E352" s="2" t="s">
        <v>311</v>
      </c>
      <c r="F352" s="2">
        <v>1.0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 t="s">
        <v>323</v>
      </c>
      <c r="B353" s="2">
        <v>1.0</v>
      </c>
      <c r="C353" s="2"/>
      <c r="D353" s="2"/>
      <c r="E353" s="2" t="s">
        <v>311</v>
      </c>
      <c r="F353" s="2">
        <v>1.0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 t="s">
        <v>324</v>
      </c>
      <c r="B354" s="2">
        <v>1.0</v>
      </c>
      <c r="C354" s="2"/>
      <c r="D354" s="2" t="s">
        <v>11</v>
      </c>
      <c r="E354" s="2" t="s">
        <v>311</v>
      </c>
      <c r="F354" s="2">
        <v>1.0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 t="s">
        <v>325</v>
      </c>
      <c r="B355" s="2">
        <v>1.0</v>
      </c>
      <c r="C355" s="2" t="s">
        <v>326</v>
      </c>
      <c r="D355" s="2"/>
      <c r="E355" s="2" t="s">
        <v>311</v>
      </c>
      <c r="F355" s="2">
        <v>1.0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 t="s">
        <v>325</v>
      </c>
      <c r="B356" s="2"/>
      <c r="C356" s="2" t="s">
        <v>41</v>
      </c>
      <c r="D356" s="2"/>
      <c r="E356" s="2" t="s">
        <v>311</v>
      </c>
      <c r="F356" s="2">
        <v>1.0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 t="s">
        <v>325</v>
      </c>
      <c r="B357" s="2"/>
      <c r="C357" s="2" t="s">
        <v>182</v>
      </c>
      <c r="D357" s="2"/>
      <c r="E357" s="2" t="s">
        <v>311</v>
      </c>
      <c r="F357" s="2">
        <v>1.0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 t="s">
        <v>325</v>
      </c>
      <c r="B358" s="2"/>
      <c r="C358" s="2" t="s">
        <v>17</v>
      </c>
      <c r="D358" s="2"/>
      <c r="E358" s="2" t="s">
        <v>311</v>
      </c>
      <c r="F358" s="2">
        <v>1.0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 t="s">
        <v>327</v>
      </c>
      <c r="B359" s="2">
        <v>1.0</v>
      </c>
      <c r="C359" s="2"/>
      <c r="D359" s="2"/>
      <c r="E359" s="2" t="s">
        <v>311</v>
      </c>
      <c r="F359" s="2">
        <v>3.0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 t="s">
        <v>327</v>
      </c>
      <c r="B360" s="2"/>
      <c r="C360" s="2" t="s">
        <v>328</v>
      </c>
      <c r="D360" s="2"/>
      <c r="E360" s="2" t="s">
        <v>311</v>
      </c>
      <c r="F360" s="2">
        <v>1.0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 t="s">
        <v>329</v>
      </c>
      <c r="B361" s="2">
        <v>1.0</v>
      </c>
      <c r="C361" s="2"/>
      <c r="D361" s="2"/>
      <c r="E361" s="2" t="s">
        <v>311</v>
      </c>
      <c r="F361" s="2">
        <v>1.0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 t="s">
        <v>330</v>
      </c>
      <c r="B362" s="2">
        <v>1.0</v>
      </c>
      <c r="C362" s="2"/>
      <c r="D362" s="2"/>
      <c r="E362" s="2" t="s">
        <v>311</v>
      </c>
      <c r="F362" s="2">
        <v>10.0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 t="s">
        <v>330</v>
      </c>
      <c r="B363" s="2"/>
      <c r="C363" s="2" t="s">
        <v>331</v>
      </c>
      <c r="D363" s="2"/>
      <c r="E363" s="2" t="s">
        <v>311</v>
      </c>
      <c r="F363" s="2">
        <v>1.0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 t="s">
        <v>330</v>
      </c>
      <c r="B364" s="2"/>
      <c r="C364" s="2" t="s">
        <v>332</v>
      </c>
      <c r="D364" s="2"/>
      <c r="E364" s="2" t="s">
        <v>311</v>
      </c>
      <c r="F364" s="2">
        <v>1.0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 t="s">
        <v>330</v>
      </c>
      <c r="B365" s="2"/>
      <c r="C365" s="2" t="s">
        <v>243</v>
      </c>
      <c r="D365" s="2"/>
      <c r="E365" s="2" t="s">
        <v>311</v>
      </c>
      <c r="F365" s="2">
        <v>1.0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 t="s">
        <v>330</v>
      </c>
      <c r="B366" s="2"/>
      <c r="C366" s="2" t="s">
        <v>333</v>
      </c>
      <c r="D366" s="2"/>
      <c r="E366" s="2" t="s">
        <v>311</v>
      </c>
      <c r="F366" s="2">
        <v>1.0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 t="s">
        <v>330</v>
      </c>
      <c r="B367" s="2"/>
      <c r="C367" s="2" t="s">
        <v>334</v>
      </c>
      <c r="D367" s="2"/>
      <c r="E367" s="2" t="s">
        <v>311</v>
      </c>
      <c r="F367" s="2">
        <v>4.0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 t="s">
        <v>330</v>
      </c>
      <c r="B368" s="2"/>
      <c r="C368" s="2" t="s">
        <v>247</v>
      </c>
      <c r="D368" s="2"/>
      <c r="E368" s="2" t="s">
        <v>311</v>
      </c>
      <c r="F368" s="2">
        <v>1.0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 t="s">
        <v>330</v>
      </c>
      <c r="B369" s="2"/>
      <c r="C369" s="2" t="s">
        <v>311</v>
      </c>
      <c r="D369" s="2"/>
      <c r="E369" s="2" t="s">
        <v>311</v>
      </c>
      <c r="F369" s="2">
        <v>1.0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 t="s">
        <v>330</v>
      </c>
      <c r="B370" s="2"/>
      <c r="C370" s="2"/>
      <c r="D370" s="2" t="s">
        <v>11</v>
      </c>
      <c r="E370" s="2" t="s">
        <v>311</v>
      </c>
      <c r="F370" s="2">
        <v>1.0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 t="s">
        <v>330</v>
      </c>
      <c r="B371" s="2"/>
      <c r="C371" s="2" t="s">
        <v>335</v>
      </c>
      <c r="D371" s="2" t="s">
        <v>11</v>
      </c>
      <c r="E371" s="2" t="s">
        <v>311</v>
      </c>
      <c r="F371" s="2">
        <v>1.0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 t="s">
        <v>336</v>
      </c>
      <c r="B372" s="2">
        <v>1.0</v>
      </c>
      <c r="C372" s="2"/>
      <c r="D372" s="2"/>
      <c r="E372" s="2" t="s">
        <v>311</v>
      </c>
      <c r="F372" s="2">
        <v>1.0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 t="s">
        <v>337</v>
      </c>
      <c r="B373" s="2">
        <v>1.0</v>
      </c>
      <c r="C373" s="2"/>
      <c r="D373" s="2"/>
      <c r="E373" s="2" t="s">
        <v>311</v>
      </c>
      <c r="F373" s="2">
        <v>1.0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 t="s">
        <v>338</v>
      </c>
      <c r="B374" s="2">
        <v>1.0</v>
      </c>
      <c r="C374" s="2"/>
      <c r="D374" s="2"/>
      <c r="E374" s="2" t="s">
        <v>311</v>
      </c>
      <c r="F374" s="2">
        <v>1.0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 t="s">
        <v>339</v>
      </c>
      <c r="B375" s="2">
        <v>1.0</v>
      </c>
      <c r="C375" s="2"/>
      <c r="D375" s="2" t="s">
        <v>11</v>
      </c>
      <c r="E375" s="2" t="s">
        <v>311</v>
      </c>
      <c r="F375" s="2">
        <v>1.0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 t="s">
        <v>340</v>
      </c>
      <c r="B376" s="2">
        <v>1.0</v>
      </c>
      <c r="C376" s="2" t="s">
        <v>10</v>
      </c>
      <c r="D376" s="2" t="s">
        <v>11</v>
      </c>
      <c r="E376" s="2" t="s">
        <v>311</v>
      </c>
      <c r="F376" s="2">
        <v>1.0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 t="s">
        <v>341</v>
      </c>
      <c r="B377" s="2">
        <v>1.0</v>
      </c>
      <c r="C377" s="2"/>
      <c r="D377" s="2"/>
      <c r="E377" s="2" t="s">
        <v>311</v>
      </c>
      <c r="F377" s="2">
        <v>1.0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 t="s">
        <v>341</v>
      </c>
      <c r="B378" s="2"/>
      <c r="C378" s="2" t="s">
        <v>322</v>
      </c>
      <c r="D378" s="2"/>
      <c r="E378" s="2" t="s">
        <v>311</v>
      </c>
      <c r="F378" s="2">
        <v>1.0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 t="s">
        <v>342</v>
      </c>
      <c r="B379" s="2">
        <v>1.0</v>
      </c>
      <c r="C379" s="2"/>
      <c r="D379" s="2"/>
      <c r="E379" s="2" t="s">
        <v>311</v>
      </c>
      <c r="F379" s="2">
        <v>2.0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 t="s">
        <v>343</v>
      </c>
      <c r="B380" s="2">
        <v>1.0</v>
      </c>
      <c r="C380" s="2"/>
      <c r="D380" s="2"/>
      <c r="E380" s="2" t="s">
        <v>311</v>
      </c>
      <c r="F380" s="2">
        <v>3.0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 t="s">
        <v>343</v>
      </c>
      <c r="B381" s="2"/>
      <c r="C381" s="2" t="s">
        <v>333</v>
      </c>
      <c r="D381" s="2"/>
      <c r="E381" s="2" t="s">
        <v>311</v>
      </c>
      <c r="F381" s="2">
        <v>2.0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 t="s">
        <v>343</v>
      </c>
      <c r="B382" s="2"/>
      <c r="C382" s="2" t="s">
        <v>138</v>
      </c>
      <c r="D382" s="2" t="s">
        <v>11</v>
      </c>
      <c r="E382" s="2" t="s">
        <v>311</v>
      </c>
      <c r="F382" s="2">
        <v>1.0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 t="s">
        <v>344</v>
      </c>
      <c r="B383" s="2">
        <v>1.0</v>
      </c>
      <c r="C383" s="2" t="s">
        <v>345</v>
      </c>
      <c r="D383" s="2" t="s">
        <v>11</v>
      </c>
      <c r="E383" s="2" t="s">
        <v>311</v>
      </c>
      <c r="F383" s="2">
        <v>1.0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 t="s">
        <v>344</v>
      </c>
      <c r="B384" s="2"/>
      <c r="C384" s="2" t="s">
        <v>346</v>
      </c>
      <c r="D384" s="2" t="s">
        <v>11</v>
      </c>
      <c r="E384" s="2" t="s">
        <v>311</v>
      </c>
      <c r="F384" s="2">
        <v>1.0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 t="s">
        <v>347</v>
      </c>
      <c r="B385" s="2">
        <v>1.0</v>
      </c>
      <c r="C385" s="2" t="s">
        <v>348</v>
      </c>
      <c r="D385" s="2"/>
      <c r="E385" s="2" t="s">
        <v>311</v>
      </c>
      <c r="F385" s="2">
        <v>1.0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 t="s">
        <v>347</v>
      </c>
      <c r="B386" s="2"/>
      <c r="C386" s="2" t="s">
        <v>333</v>
      </c>
      <c r="D386" s="2"/>
      <c r="E386" s="2" t="s">
        <v>311</v>
      </c>
      <c r="F386" s="2">
        <v>1.0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 t="s">
        <v>349</v>
      </c>
      <c r="B387" s="2">
        <v>1.0</v>
      </c>
      <c r="C387" s="2" t="s">
        <v>10</v>
      </c>
      <c r="D387" s="2"/>
      <c r="E387" s="2" t="s">
        <v>311</v>
      </c>
      <c r="F387" s="2">
        <v>1.0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 t="s">
        <v>350</v>
      </c>
      <c r="B388" s="2">
        <v>1.0</v>
      </c>
      <c r="C388" s="2"/>
      <c r="D388" s="2"/>
      <c r="E388" s="2" t="s">
        <v>311</v>
      </c>
      <c r="F388" s="2">
        <v>1.0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 t="s">
        <v>350</v>
      </c>
      <c r="B389" s="2"/>
      <c r="C389" s="2"/>
      <c r="D389" s="2" t="s">
        <v>11</v>
      </c>
      <c r="E389" s="2" t="s">
        <v>311</v>
      </c>
      <c r="F389" s="2">
        <v>1.0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 t="s">
        <v>351</v>
      </c>
      <c r="B390" s="2">
        <v>1.0</v>
      </c>
      <c r="C390" s="2"/>
      <c r="D390" s="2" t="s">
        <v>11</v>
      </c>
      <c r="E390" s="2" t="s">
        <v>311</v>
      </c>
      <c r="F390" s="2">
        <v>1.0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 t="s">
        <v>351</v>
      </c>
      <c r="B391" s="2"/>
      <c r="C391" s="2" t="s">
        <v>352</v>
      </c>
      <c r="D391" s="2" t="s">
        <v>11</v>
      </c>
      <c r="E391" s="2" t="s">
        <v>311</v>
      </c>
      <c r="F391" s="2">
        <v>1.0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 t="s">
        <v>351</v>
      </c>
      <c r="B392" s="2"/>
      <c r="C392" s="2" t="s">
        <v>149</v>
      </c>
      <c r="D392" s="2"/>
      <c r="E392" s="2" t="s">
        <v>311</v>
      </c>
      <c r="F392" s="2">
        <v>1.0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 t="s">
        <v>353</v>
      </c>
      <c r="B393" s="2">
        <v>1.0</v>
      </c>
      <c r="C393" s="2"/>
      <c r="D393" s="2"/>
      <c r="E393" s="2" t="s">
        <v>311</v>
      </c>
      <c r="F393" s="2">
        <v>1.0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 t="s">
        <v>354</v>
      </c>
      <c r="B394" s="2">
        <v>1.0</v>
      </c>
      <c r="C394" s="2"/>
      <c r="D394" s="2"/>
      <c r="E394" s="2" t="s">
        <v>311</v>
      </c>
      <c r="F394" s="2">
        <v>1.0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 t="s">
        <v>354</v>
      </c>
      <c r="B395" s="2"/>
      <c r="C395" s="2" t="s">
        <v>355</v>
      </c>
      <c r="D395" s="2"/>
      <c r="E395" s="2" t="s">
        <v>311</v>
      </c>
      <c r="F395" s="2">
        <v>2.0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 t="s">
        <v>354</v>
      </c>
      <c r="B396" s="2"/>
      <c r="C396" s="2" t="s">
        <v>355</v>
      </c>
      <c r="D396" s="2" t="s">
        <v>11</v>
      </c>
      <c r="E396" s="2" t="s">
        <v>311</v>
      </c>
      <c r="F396" s="2">
        <v>1.0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 t="s">
        <v>354</v>
      </c>
      <c r="B397" s="2"/>
      <c r="C397" s="2" t="s">
        <v>356</v>
      </c>
      <c r="D397" s="2"/>
      <c r="E397" s="2" t="s">
        <v>311</v>
      </c>
      <c r="F397" s="2">
        <v>1.0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 t="s">
        <v>354</v>
      </c>
      <c r="B398" s="2"/>
      <c r="C398" s="2"/>
      <c r="D398" s="2" t="s">
        <v>11</v>
      </c>
      <c r="E398" s="2" t="s">
        <v>311</v>
      </c>
      <c r="F398" s="2">
        <v>1.0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 t="s">
        <v>357</v>
      </c>
      <c r="B399" s="2">
        <v>1.0</v>
      </c>
      <c r="C399" s="2" t="s">
        <v>333</v>
      </c>
      <c r="D399" s="2"/>
      <c r="E399" s="2" t="s">
        <v>311</v>
      </c>
      <c r="F399" s="2">
        <v>1.0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 t="s">
        <v>357</v>
      </c>
      <c r="B400" s="2">
        <v>1.0</v>
      </c>
      <c r="C400" s="2" t="s">
        <v>358</v>
      </c>
      <c r="D400" s="2"/>
      <c r="E400" s="2" t="s">
        <v>311</v>
      </c>
      <c r="F400" s="2">
        <v>1.0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 t="s">
        <v>359</v>
      </c>
      <c r="B401" s="2">
        <v>1.0</v>
      </c>
      <c r="C401" s="2" t="s">
        <v>360</v>
      </c>
      <c r="D401" s="2" t="s">
        <v>11</v>
      </c>
      <c r="E401" s="2" t="s">
        <v>311</v>
      </c>
      <c r="F401" s="2">
        <v>1.0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 t="s">
        <v>359</v>
      </c>
      <c r="B402" s="2"/>
      <c r="C402" s="2" t="s">
        <v>182</v>
      </c>
      <c r="D402" s="2" t="s">
        <v>11</v>
      </c>
      <c r="E402" s="2" t="s">
        <v>311</v>
      </c>
      <c r="F402" s="2">
        <v>1.0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 t="s">
        <v>361</v>
      </c>
      <c r="B403" s="2">
        <v>1.0</v>
      </c>
      <c r="C403" s="2" t="s">
        <v>83</v>
      </c>
      <c r="D403" s="2" t="s">
        <v>11</v>
      </c>
      <c r="E403" s="2" t="s">
        <v>311</v>
      </c>
      <c r="F403" s="2">
        <v>1.0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 t="s">
        <v>362</v>
      </c>
      <c r="B404" s="2"/>
      <c r="C404" s="2" t="s">
        <v>115</v>
      </c>
      <c r="D404" s="2" t="s">
        <v>11</v>
      </c>
      <c r="E404" s="2" t="s">
        <v>311</v>
      </c>
      <c r="F404" s="2">
        <v>1.0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 t="s">
        <v>363</v>
      </c>
      <c r="B405" s="2">
        <v>1.0</v>
      </c>
      <c r="C405" s="2"/>
      <c r="D405" s="2"/>
      <c r="E405" s="2" t="s">
        <v>311</v>
      </c>
      <c r="F405" s="2">
        <v>1.0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 t="s">
        <v>363</v>
      </c>
      <c r="B406" s="2"/>
      <c r="C406" s="2" t="s">
        <v>83</v>
      </c>
      <c r="D406" s="2" t="s">
        <v>11</v>
      </c>
      <c r="E406" s="2" t="s">
        <v>311</v>
      </c>
      <c r="F406" s="2">
        <v>1.0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 t="s">
        <v>364</v>
      </c>
      <c r="B407" s="2">
        <v>1.0</v>
      </c>
      <c r="C407" s="2" t="s">
        <v>365</v>
      </c>
      <c r="D407" s="2"/>
      <c r="E407" s="2" t="s">
        <v>311</v>
      </c>
      <c r="F407" s="2">
        <v>1.0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 t="s">
        <v>364</v>
      </c>
      <c r="B408" s="2"/>
      <c r="C408" s="2" t="s">
        <v>17</v>
      </c>
      <c r="D408" s="2"/>
      <c r="E408" s="2" t="s">
        <v>311</v>
      </c>
      <c r="F408" s="2">
        <v>1.0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 t="s">
        <v>366</v>
      </c>
      <c r="B409" s="2">
        <v>1.0</v>
      </c>
      <c r="C409" s="2"/>
      <c r="D409" s="2" t="s">
        <v>11</v>
      </c>
      <c r="E409" s="2" t="s">
        <v>311</v>
      </c>
      <c r="F409" s="2">
        <v>1.0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 t="s">
        <v>367</v>
      </c>
      <c r="B410" s="2">
        <v>1.0</v>
      </c>
      <c r="C410" s="2"/>
      <c r="D410" s="2"/>
      <c r="E410" s="2" t="s">
        <v>311</v>
      </c>
      <c r="F410" s="2">
        <v>4.0</v>
      </c>
      <c r="G410" s="1" t="s">
        <v>368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 t="s">
        <v>367</v>
      </c>
      <c r="B411" s="2"/>
      <c r="C411" s="2" t="s">
        <v>69</v>
      </c>
      <c r="D411" s="2"/>
      <c r="E411" s="2" t="s">
        <v>311</v>
      </c>
      <c r="F411" s="2">
        <v>1.0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 t="s">
        <v>367</v>
      </c>
      <c r="B412" s="2"/>
      <c r="C412" s="2" t="s">
        <v>333</v>
      </c>
      <c r="D412" s="2"/>
      <c r="E412" s="2" t="s">
        <v>311</v>
      </c>
      <c r="F412" s="2">
        <v>2.0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 t="s">
        <v>367</v>
      </c>
      <c r="B413" s="2"/>
      <c r="C413" s="2" t="s">
        <v>247</v>
      </c>
      <c r="D413" s="2"/>
      <c r="E413" s="2" t="s">
        <v>311</v>
      </c>
      <c r="F413" s="2">
        <v>2.0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 t="s">
        <v>367</v>
      </c>
      <c r="B414" s="2"/>
      <c r="C414" s="2"/>
      <c r="D414" s="2" t="s">
        <v>11</v>
      </c>
      <c r="E414" s="2" t="s">
        <v>311</v>
      </c>
      <c r="F414" s="2">
        <v>1.0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 t="s">
        <v>367</v>
      </c>
      <c r="B415" s="2"/>
      <c r="C415" s="2" t="s">
        <v>244</v>
      </c>
      <c r="D415" s="2" t="s">
        <v>11</v>
      </c>
      <c r="E415" s="2" t="s">
        <v>311</v>
      </c>
      <c r="F415" s="2">
        <v>1.0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 t="s">
        <v>369</v>
      </c>
      <c r="B416" s="2">
        <v>1.0</v>
      </c>
      <c r="C416" s="2"/>
      <c r="D416" s="2"/>
      <c r="E416" s="2" t="s">
        <v>311</v>
      </c>
      <c r="F416" s="2">
        <v>4.0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 t="s">
        <v>369</v>
      </c>
      <c r="B417" s="2"/>
      <c r="C417" s="2" t="s">
        <v>282</v>
      </c>
      <c r="D417" s="2"/>
      <c r="E417" s="2" t="s">
        <v>311</v>
      </c>
      <c r="F417" s="2">
        <v>2.0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 t="s">
        <v>369</v>
      </c>
      <c r="B418" s="2"/>
      <c r="C418" s="2" t="s">
        <v>25</v>
      </c>
      <c r="D418" s="2"/>
      <c r="E418" s="2" t="s">
        <v>311</v>
      </c>
      <c r="F418" s="2">
        <v>1.0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 t="s">
        <v>370</v>
      </c>
      <c r="B419" s="2">
        <v>1.0</v>
      </c>
      <c r="C419" s="2"/>
      <c r="D419" s="2" t="s">
        <v>11</v>
      </c>
      <c r="E419" s="2" t="s">
        <v>311</v>
      </c>
      <c r="F419" s="2">
        <v>1.0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 t="s">
        <v>371</v>
      </c>
      <c r="B420" s="2">
        <v>1.0</v>
      </c>
      <c r="C420" s="2"/>
      <c r="D420" s="2"/>
      <c r="E420" s="2" t="s">
        <v>311</v>
      </c>
      <c r="F420" s="2">
        <v>1.0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 t="s">
        <v>372</v>
      </c>
      <c r="B421" s="2">
        <v>1.0</v>
      </c>
      <c r="C421" s="2"/>
      <c r="D421" s="2" t="s">
        <v>11</v>
      </c>
      <c r="E421" s="2" t="s">
        <v>311</v>
      </c>
      <c r="F421" s="2">
        <v>1.0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 t="s">
        <v>373</v>
      </c>
      <c r="B422" s="2">
        <v>1.0</v>
      </c>
      <c r="C422" s="2"/>
      <c r="D422" s="2"/>
      <c r="E422" s="2" t="s">
        <v>311</v>
      </c>
      <c r="F422" s="2">
        <v>1.0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 t="s">
        <v>374</v>
      </c>
      <c r="B423" s="2">
        <v>1.0</v>
      </c>
      <c r="C423" s="2" t="s">
        <v>182</v>
      </c>
      <c r="D423" s="2" t="s">
        <v>11</v>
      </c>
      <c r="E423" s="2" t="s">
        <v>311</v>
      </c>
      <c r="F423" s="2">
        <v>1.0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 t="s">
        <v>375</v>
      </c>
      <c r="B424" s="2">
        <v>1.0</v>
      </c>
      <c r="C424" s="2"/>
      <c r="D424" s="2"/>
      <c r="E424" s="2" t="s">
        <v>311</v>
      </c>
      <c r="F424" s="2">
        <v>1.0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 t="s">
        <v>376</v>
      </c>
      <c r="B425" s="2">
        <v>1.0</v>
      </c>
      <c r="C425" s="2"/>
      <c r="D425" s="2"/>
      <c r="E425" s="2" t="s">
        <v>311</v>
      </c>
      <c r="F425" s="2">
        <v>1.0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 t="s">
        <v>377</v>
      </c>
      <c r="B426" s="2">
        <v>1.0</v>
      </c>
      <c r="C426" s="2" t="s">
        <v>10</v>
      </c>
      <c r="D426" s="2"/>
      <c r="E426" s="2" t="s">
        <v>311</v>
      </c>
      <c r="F426" s="2">
        <v>1.0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 t="s">
        <v>378</v>
      </c>
      <c r="B427" s="2">
        <v>1.0</v>
      </c>
      <c r="C427" s="2"/>
      <c r="D427" s="2"/>
      <c r="E427" s="2" t="s">
        <v>311</v>
      </c>
      <c r="F427" s="2">
        <v>1.0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 t="s">
        <v>379</v>
      </c>
      <c r="B428" s="2">
        <v>1.0</v>
      </c>
      <c r="C428" s="2" t="s">
        <v>380</v>
      </c>
      <c r="D428" s="2" t="s">
        <v>11</v>
      </c>
      <c r="E428" s="2" t="s">
        <v>311</v>
      </c>
      <c r="F428" s="2">
        <v>1.0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 t="s">
        <v>379</v>
      </c>
      <c r="B429" s="2"/>
      <c r="C429" s="2" t="s">
        <v>381</v>
      </c>
      <c r="D429" s="2" t="s">
        <v>11</v>
      </c>
      <c r="E429" s="2" t="s">
        <v>311</v>
      </c>
      <c r="F429" s="2">
        <v>1.0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 t="s">
        <v>382</v>
      </c>
      <c r="B430" s="2">
        <v>1.0</v>
      </c>
      <c r="C430" s="2"/>
      <c r="D430" s="2"/>
      <c r="E430" s="2" t="s">
        <v>311</v>
      </c>
      <c r="F430" s="2">
        <v>1.0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 t="s">
        <v>383</v>
      </c>
      <c r="B431" s="2">
        <v>1.0</v>
      </c>
      <c r="C431" s="2" t="s">
        <v>83</v>
      </c>
      <c r="D431" s="2"/>
      <c r="E431" s="2" t="s">
        <v>311</v>
      </c>
      <c r="F431" s="2">
        <v>1.0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 t="s">
        <v>383</v>
      </c>
      <c r="B432" s="2"/>
      <c r="C432" s="2" t="s">
        <v>182</v>
      </c>
      <c r="D432" s="2"/>
      <c r="E432" s="2" t="s">
        <v>311</v>
      </c>
      <c r="F432" s="2">
        <v>1.0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 t="s">
        <v>384</v>
      </c>
      <c r="B433" s="2">
        <v>1.0</v>
      </c>
      <c r="C433" s="2"/>
      <c r="D433" s="2"/>
      <c r="E433" s="2" t="s">
        <v>311</v>
      </c>
      <c r="F433" s="2">
        <v>1.0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 t="s">
        <v>385</v>
      </c>
      <c r="B434" s="2">
        <v>1.0</v>
      </c>
      <c r="C434" s="2" t="s">
        <v>41</v>
      </c>
      <c r="D434" s="2"/>
      <c r="E434" s="2" t="s">
        <v>311</v>
      </c>
      <c r="F434" s="2">
        <v>1.0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 t="s">
        <v>385</v>
      </c>
      <c r="B435" s="2"/>
      <c r="C435" s="2" t="s">
        <v>83</v>
      </c>
      <c r="D435" s="2"/>
      <c r="E435" s="2" t="s">
        <v>311</v>
      </c>
      <c r="F435" s="2">
        <v>1.0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 t="s">
        <v>385</v>
      </c>
      <c r="B436" s="2"/>
      <c r="C436" s="2" t="s">
        <v>156</v>
      </c>
      <c r="D436" s="2"/>
      <c r="E436" s="2" t="s">
        <v>311</v>
      </c>
      <c r="F436" s="2">
        <v>1.0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 t="s">
        <v>385</v>
      </c>
      <c r="B437" s="2"/>
      <c r="C437" s="2" t="s">
        <v>386</v>
      </c>
      <c r="D437" s="2"/>
      <c r="E437" s="2" t="s">
        <v>311</v>
      </c>
      <c r="F437" s="2">
        <v>1.0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 t="s">
        <v>385</v>
      </c>
      <c r="B438" s="2"/>
      <c r="C438" s="2" t="s">
        <v>182</v>
      </c>
      <c r="D438" s="2"/>
      <c r="E438" s="2" t="s">
        <v>311</v>
      </c>
      <c r="F438" s="2">
        <v>1.0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 t="s">
        <v>385</v>
      </c>
      <c r="B439" s="2"/>
      <c r="C439" s="2" t="s">
        <v>387</v>
      </c>
      <c r="D439" s="2" t="s">
        <v>11</v>
      </c>
      <c r="E439" s="2" t="s">
        <v>311</v>
      </c>
      <c r="F439" s="2">
        <v>1.0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 t="s">
        <v>388</v>
      </c>
      <c r="B440" s="2">
        <v>1.0</v>
      </c>
      <c r="C440" s="2" t="s">
        <v>389</v>
      </c>
      <c r="D440" s="2" t="s">
        <v>11</v>
      </c>
      <c r="E440" s="2" t="s">
        <v>311</v>
      </c>
      <c r="F440" s="2">
        <v>1.0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 t="s">
        <v>388</v>
      </c>
      <c r="B441" s="2"/>
      <c r="C441" s="2" t="s">
        <v>390</v>
      </c>
      <c r="D441" s="2" t="s">
        <v>11</v>
      </c>
      <c r="E441" s="2" t="s">
        <v>311</v>
      </c>
      <c r="F441" s="2">
        <v>1.0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 t="s">
        <v>388</v>
      </c>
      <c r="B442" s="2"/>
      <c r="C442" s="2" t="s">
        <v>69</v>
      </c>
      <c r="D442" s="2" t="s">
        <v>11</v>
      </c>
      <c r="E442" s="2" t="s">
        <v>311</v>
      </c>
      <c r="F442" s="2">
        <v>1.0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 t="s">
        <v>97</v>
      </c>
      <c r="B443" s="2">
        <v>1.0</v>
      </c>
      <c r="C443" s="2"/>
      <c r="D443" s="2"/>
      <c r="E443" s="2" t="s">
        <v>311</v>
      </c>
      <c r="F443" s="2">
        <v>1.0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 t="s">
        <v>97</v>
      </c>
      <c r="B444" s="2"/>
      <c r="C444" s="2" t="s">
        <v>333</v>
      </c>
      <c r="D444" s="2"/>
      <c r="E444" s="2" t="s">
        <v>311</v>
      </c>
      <c r="F444" s="2">
        <v>1.0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3" t="s">
        <v>391</v>
      </c>
      <c r="B445" s="2">
        <v>1.0</v>
      </c>
      <c r="C445" s="2" t="s">
        <v>392</v>
      </c>
      <c r="D445" s="2" t="s">
        <v>11</v>
      </c>
      <c r="E445" s="2" t="s">
        <v>311</v>
      </c>
      <c r="F445" s="2">
        <v>1.0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3" t="s">
        <v>391</v>
      </c>
      <c r="B446" s="2"/>
      <c r="C446" s="2" t="s">
        <v>393</v>
      </c>
      <c r="D446" s="2" t="s">
        <v>11</v>
      </c>
      <c r="E446" s="2" t="s">
        <v>311</v>
      </c>
      <c r="F446" s="2">
        <v>1.0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 t="s">
        <v>394</v>
      </c>
      <c r="B447" s="2">
        <v>1.0</v>
      </c>
      <c r="C447" s="2"/>
      <c r="D447" s="2"/>
      <c r="E447" s="2" t="s">
        <v>311</v>
      </c>
      <c r="F447" s="2">
        <v>2.0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 t="s">
        <v>394</v>
      </c>
      <c r="B448" s="2"/>
      <c r="C448" s="2"/>
      <c r="D448" s="2" t="s">
        <v>11</v>
      </c>
      <c r="E448" s="2" t="s">
        <v>311</v>
      </c>
      <c r="F448" s="2">
        <v>2.0</v>
      </c>
      <c r="G448" s="1" t="s">
        <v>80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 t="s">
        <v>395</v>
      </c>
      <c r="B449" s="2">
        <v>1.0</v>
      </c>
      <c r="C449" s="2"/>
      <c r="D449" s="2"/>
      <c r="E449" s="2" t="s">
        <v>311</v>
      </c>
      <c r="F449" s="2">
        <v>1.0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 t="s">
        <v>396</v>
      </c>
      <c r="B450" s="2">
        <v>1.0</v>
      </c>
      <c r="C450" s="2"/>
      <c r="D450" s="2"/>
      <c r="E450" s="2" t="s">
        <v>311</v>
      </c>
      <c r="F450" s="2">
        <v>2.0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 t="s">
        <v>396</v>
      </c>
      <c r="B451" s="2"/>
      <c r="C451" s="2" t="s">
        <v>390</v>
      </c>
      <c r="D451" s="2"/>
      <c r="E451" s="2" t="s">
        <v>311</v>
      </c>
      <c r="F451" s="2">
        <v>1.0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 t="s">
        <v>396</v>
      </c>
      <c r="B452" s="2"/>
      <c r="C452" s="2" t="s">
        <v>397</v>
      </c>
      <c r="D452" s="2"/>
      <c r="E452" s="2" t="s">
        <v>311</v>
      </c>
      <c r="F452" s="2">
        <v>1.0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 t="s">
        <v>396</v>
      </c>
      <c r="B453" s="2"/>
      <c r="C453" s="2" t="s">
        <v>398</v>
      </c>
      <c r="D453" s="2"/>
      <c r="E453" s="2" t="s">
        <v>311</v>
      </c>
      <c r="F453" s="2">
        <v>1.0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 t="s">
        <v>399</v>
      </c>
      <c r="B454" s="2">
        <v>1.0</v>
      </c>
      <c r="C454" s="2"/>
      <c r="D454" s="2" t="s">
        <v>11</v>
      </c>
      <c r="E454" s="2" t="s">
        <v>311</v>
      </c>
      <c r="F454" s="2">
        <v>1.0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 t="s">
        <v>400</v>
      </c>
      <c r="B455" s="2">
        <v>1.0</v>
      </c>
      <c r="C455" s="2" t="s">
        <v>92</v>
      </c>
      <c r="D455" s="2"/>
      <c r="E455" s="2" t="s">
        <v>311</v>
      </c>
      <c r="F455" s="2">
        <v>1.0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 t="s">
        <v>401</v>
      </c>
      <c r="B456" s="2">
        <v>1.0</v>
      </c>
      <c r="C456" s="2"/>
      <c r="D456" s="2" t="s">
        <v>11</v>
      </c>
      <c r="E456" s="2" t="s">
        <v>311</v>
      </c>
      <c r="F456" s="2">
        <v>3.0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 t="s">
        <v>402</v>
      </c>
      <c r="B457" s="2">
        <v>1.0</v>
      </c>
      <c r="C457" s="2"/>
      <c r="D457" s="2"/>
      <c r="E457" s="2" t="s">
        <v>311</v>
      </c>
      <c r="F457" s="2">
        <v>1.0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 t="s">
        <v>403</v>
      </c>
      <c r="B458" s="2">
        <v>1.0</v>
      </c>
      <c r="C458" s="2"/>
      <c r="D458" s="2"/>
      <c r="E458" s="2" t="s">
        <v>311</v>
      </c>
      <c r="F458" s="2">
        <v>1.0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 t="s">
        <v>403</v>
      </c>
      <c r="B459" s="2"/>
      <c r="C459" s="2" t="s">
        <v>404</v>
      </c>
      <c r="D459" s="2"/>
      <c r="E459" s="2" t="s">
        <v>311</v>
      </c>
      <c r="F459" s="2">
        <v>5.0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 t="s">
        <v>403</v>
      </c>
      <c r="B460" s="2"/>
      <c r="C460" s="2" t="s">
        <v>405</v>
      </c>
      <c r="D460" s="2"/>
      <c r="E460" s="2" t="s">
        <v>311</v>
      </c>
      <c r="F460" s="2">
        <v>1.0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 t="s">
        <v>403</v>
      </c>
      <c r="B461" s="2"/>
      <c r="C461" s="2" t="s">
        <v>406</v>
      </c>
      <c r="D461" s="2"/>
      <c r="E461" s="2" t="s">
        <v>311</v>
      </c>
      <c r="F461" s="2">
        <v>1.0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 t="s">
        <v>403</v>
      </c>
      <c r="B462" s="2"/>
      <c r="C462" s="2" t="s">
        <v>407</v>
      </c>
      <c r="D462" s="2"/>
      <c r="E462" s="2" t="s">
        <v>311</v>
      </c>
      <c r="F462" s="2">
        <v>1.0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 t="s">
        <v>403</v>
      </c>
      <c r="B463" s="2"/>
      <c r="C463" s="14">
        <v>0.0</v>
      </c>
      <c r="D463" s="2"/>
      <c r="E463" s="2" t="s">
        <v>311</v>
      </c>
      <c r="F463" s="2">
        <v>1.0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 t="s">
        <v>408</v>
      </c>
      <c r="B464" s="2">
        <v>1.0</v>
      </c>
      <c r="C464" s="14" t="s">
        <v>243</v>
      </c>
      <c r="D464" s="2" t="s">
        <v>11</v>
      </c>
      <c r="E464" s="2" t="s">
        <v>311</v>
      </c>
      <c r="F464" s="2">
        <v>1.0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 t="s">
        <v>409</v>
      </c>
      <c r="B465" s="2">
        <v>1.0</v>
      </c>
      <c r="C465" s="14" t="s">
        <v>333</v>
      </c>
      <c r="D465" s="2" t="s">
        <v>11</v>
      </c>
      <c r="E465" s="2" t="s">
        <v>311</v>
      </c>
      <c r="F465" s="2">
        <v>1.0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 t="s">
        <v>410</v>
      </c>
      <c r="B466" s="2">
        <v>1.0</v>
      </c>
      <c r="C466" s="2"/>
      <c r="D466" s="2"/>
      <c r="E466" s="2" t="s">
        <v>311</v>
      </c>
      <c r="F466" s="2">
        <v>1.0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 t="s">
        <v>411</v>
      </c>
      <c r="B467" s="2">
        <v>1.0</v>
      </c>
      <c r="C467" s="2"/>
      <c r="D467" s="2"/>
      <c r="E467" s="2" t="s">
        <v>311</v>
      </c>
      <c r="F467" s="2">
        <v>1.0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 t="s">
        <v>412</v>
      </c>
      <c r="B468" s="2">
        <v>1.0</v>
      </c>
      <c r="C468" s="2"/>
      <c r="D468" s="2"/>
      <c r="E468" s="2" t="s">
        <v>311</v>
      </c>
      <c r="F468" s="2">
        <v>3.0</v>
      </c>
      <c r="G468" s="1" t="s">
        <v>413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 t="s">
        <v>412</v>
      </c>
      <c r="B469" s="2"/>
      <c r="C469" s="2" t="s">
        <v>414</v>
      </c>
      <c r="D469" s="2"/>
      <c r="E469" s="2" t="s">
        <v>311</v>
      </c>
      <c r="F469" s="2">
        <v>1.0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 t="s">
        <v>412</v>
      </c>
      <c r="B470" s="2"/>
      <c r="C470" s="2" t="s">
        <v>415</v>
      </c>
      <c r="D470" s="2"/>
      <c r="E470" s="2" t="s">
        <v>311</v>
      </c>
      <c r="F470" s="2">
        <v>4.0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 t="s">
        <v>412</v>
      </c>
      <c r="B471" s="2"/>
      <c r="C471" s="2"/>
      <c r="D471" s="2" t="s">
        <v>11</v>
      </c>
      <c r="E471" s="2" t="s">
        <v>311</v>
      </c>
      <c r="F471" s="2">
        <v>1.0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 t="s">
        <v>412</v>
      </c>
      <c r="B472" s="2"/>
      <c r="C472" s="2" t="s">
        <v>416</v>
      </c>
      <c r="D472" s="2" t="s">
        <v>11</v>
      </c>
      <c r="E472" s="2" t="s">
        <v>311</v>
      </c>
      <c r="F472" s="2">
        <v>1.0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 t="s">
        <v>412</v>
      </c>
      <c r="B473" s="2"/>
      <c r="C473" s="2"/>
      <c r="D473" s="2" t="s">
        <v>11</v>
      </c>
      <c r="E473" s="2" t="s">
        <v>311</v>
      </c>
      <c r="F473" s="2">
        <v>1.0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 t="s">
        <v>417</v>
      </c>
      <c r="B474" s="2">
        <v>1.0</v>
      </c>
      <c r="C474" s="2"/>
      <c r="D474" s="2"/>
      <c r="E474" s="2" t="s">
        <v>311</v>
      </c>
      <c r="F474" s="2">
        <v>1.0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 t="s">
        <v>418</v>
      </c>
      <c r="B475" s="2">
        <v>1.0</v>
      </c>
      <c r="C475" s="2"/>
      <c r="D475" s="2"/>
      <c r="E475" s="2" t="s">
        <v>311</v>
      </c>
      <c r="F475" s="2">
        <v>2.0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 t="s">
        <v>419</v>
      </c>
      <c r="B476" s="2">
        <v>1.0</v>
      </c>
      <c r="C476" s="2"/>
      <c r="D476" s="2" t="s">
        <v>11</v>
      </c>
      <c r="E476" s="2" t="s">
        <v>311</v>
      </c>
      <c r="F476" s="2">
        <v>1.0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 t="s">
        <v>419</v>
      </c>
      <c r="B477" s="2"/>
      <c r="C477" s="2" t="s">
        <v>333</v>
      </c>
      <c r="D477" s="2" t="s">
        <v>11</v>
      </c>
      <c r="E477" s="2" t="s">
        <v>311</v>
      </c>
      <c r="F477" s="2">
        <v>1.0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 t="s">
        <v>420</v>
      </c>
      <c r="B478" s="2">
        <v>1.0</v>
      </c>
      <c r="C478" s="2"/>
      <c r="D478" s="2"/>
      <c r="E478" s="2" t="s">
        <v>311</v>
      </c>
      <c r="F478" s="2">
        <v>2.0</v>
      </c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 t="s">
        <v>421</v>
      </c>
      <c r="B479" s="2">
        <v>1.0</v>
      </c>
      <c r="C479" s="2"/>
      <c r="D479" s="2"/>
      <c r="E479" s="2" t="s">
        <v>311</v>
      </c>
      <c r="F479" s="2">
        <v>2.0</v>
      </c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 t="s">
        <v>422</v>
      </c>
      <c r="B480" s="2">
        <v>1.0</v>
      </c>
      <c r="C480" s="2" t="s">
        <v>282</v>
      </c>
      <c r="D480" s="2" t="s">
        <v>11</v>
      </c>
      <c r="E480" s="2" t="s">
        <v>311</v>
      </c>
      <c r="F480" s="2">
        <v>1.0</v>
      </c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 t="s">
        <v>423</v>
      </c>
      <c r="B481" s="2">
        <v>1.0</v>
      </c>
      <c r="C481" s="2" t="s">
        <v>350</v>
      </c>
      <c r="D481" s="2" t="s">
        <v>11</v>
      </c>
      <c r="E481" s="2" t="s">
        <v>311</v>
      </c>
      <c r="F481" s="2">
        <v>1.0</v>
      </c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 t="s">
        <v>424</v>
      </c>
      <c r="B482" s="2">
        <v>1.0</v>
      </c>
      <c r="C482" s="2" t="s">
        <v>205</v>
      </c>
      <c r="D482" s="2" t="s">
        <v>11</v>
      </c>
      <c r="E482" s="2" t="s">
        <v>311</v>
      </c>
      <c r="F482" s="2">
        <v>1.0</v>
      </c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 t="s">
        <v>424</v>
      </c>
      <c r="B483" s="2"/>
      <c r="C483" s="2" t="s">
        <v>425</v>
      </c>
      <c r="D483" s="2" t="s">
        <v>11</v>
      </c>
      <c r="E483" s="2" t="s">
        <v>311</v>
      </c>
      <c r="F483" s="2">
        <v>1.0</v>
      </c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 t="s">
        <v>424</v>
      </c>
      <c r="B484" s="2"/>
      <c r="C484" s="2" t="s">
        <v>426</v>
      </c>
      <c r="D484" s="2" t="s">
        <v>11</v>
      </c>
      <c r="E484" s="2" t="s">
        <v>311</v>
      </c>
      <c r="F484" s="2">
        <v>1.0</v>
      </c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 t="s">
        <v>424</v>
      </c>
      <c r="B485" s="2"/>
      <c r="C485" s="2" t="s">
        <v>427</v>
      </c>
      <c r="D485" s="2" t="s">
        <v>11</v>
      </c>
      <c r="E485" s="2" t="s">
        <v>311</v>
      </c>
      <c r="F485" s="2">
        <v>1.0</v>
      </c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 t="s">
        <v>424</v>
      </c>
      <c r="B486" s="2"/>
      <c r="C486" s="2" t="s">
        <v>428</v>
      </c>
      <c r="D486" s="2" t="s">
        <v>11</v>
      </c>
      <c r="E486" s="2" t="s">
        <v>311</v>
      </c>
      <c r="F486" s="2">
        <v>1.0</v>
      </c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 t="s">
        <v>429</v>
      </c>
      <c r="B487" s="2">
        <v>1.0</v>
      </c>
      <c r="C487" s="2" t="s">
        <v>23</v>
      </c>
      <c r="D487" s="2" t="s">
        <v>11</v>
      </c>
      <c r="E487" s="2" t="s">
        <v>311</v>
      </c>
      <c r="F487" s="2">
        <v>1.0</v>
      </c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 t="s">
        <v>430</v>
      </c>
      <c r="B488" s="2"/>
      <c r="C488" s="2"/>
      <c r="D488" s="2" t="s">
        <v>11</v>
      </c>
      <c r="E488" s="2" t="s">
        <v>311</v>
      </c>
      <c r="F488" s="2">
        <v>1.0</v>
      </c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 t="s">
        <v>431</v>
      </c>
      <c r="B489" s="2"/>
      <c r="C489" s="2" t="s">
        <v>182</v>
      </c>
      <c r="D489" s="2" t="s">
        <v>11</v>
      </c>
      <c r="E489" s="2" t="s">
        <v>311</v>
      </c>
      <c r="F489" s="2">
        <v>1.0</v>
      </c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 t="s">
        <v>432</v>
      </c>
      <c r="B490" s="2">
        <v>1.0</v>
      </c>
      <c r="C490" s="2"/>
      <c r="D490" s="2"/>
      <c r="E490" s="2" t="s">
        <v>311</v>
      </c>
      <c r="F490" s="2">
        <v>2.0</v>
      </c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 t="s">
        <v>433</v>
      </c>
      <c r="B491" s="2">
        <v>1.0</v>
      </c>
      <c r="C491" s="2"/>
      <c r="D491" s="2"/>
      <c r="E491" s="2" t="s">
        <v>311</v>
      </c>
      <c r="F491" s="2">
        <v>1.0</v>
      </c>
      <c r="G491" s="2">
        <f>SUM(F336:F491)</f>
        <v>211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 t="s">
        <v>434</v>
      </c>
      <c r="B492" s="2">
        <v>1.0</v>
      </c>
      <c r="C492" s="2"/>
      <c r="D492" s="2" t="s">
        <v>11</v>
      </c>
      <c r="E492" s="2" t="s">
        <v>435</v>
      </c>
      <c r="F492" s="2">
        <v>1.0</v>
      </c>
      <c r="G492" s="2">
        <v>1.0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 t="s">
        <v>436</v>
      </c>
      <c r="B493" s="2">
        <v>1.0</v>
      </c>
      <c r="C493" s="2" t="s">
        <v>20</v>
      </c>
      <c r="D493" s="2"/>
      <c r="E493" s="2" t="s">
        <v>437</v>
      </c>
      <c r="F493" s="2">
        <v>1.0</v>
      </c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 t="s">
        <v>436</v>
      </c>
      <c r="B494" s="2"/>
      <c r="C494" s="2" t="s">
        <v>308</v>
      </c>
      <c r="D494" s="2"/>
      <c r="E494" s="2" t="s">
        <v>437</v>
      </c>
      <c r="F494" s="2">
        <v>1.0</v>
      </c>
      <c r="G494" s="2">
        <f>SUM(F493:F494)</f>
        <v>2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 t="s">
        <v>438</v>
      </c>
      <c r="B495" s="2">
        <v>1.0</v>
      </c>
      <c r="C495" s="2"/>
      <c r="D495" s="2"/>
      <c r="E495" s="2" t="s">
        <v>439</v>
      </c>
      <c r="F495" s="2">
        <v>2.0</v>
      </c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 t="s">
        <v>440</v>
      </c>
      <c r="B496" s="2">
        <v>1.0</v>
      </c>
      <c r="C496" s="2"/>
      <c r="D496" s="2"/>
      <c r="E496" s="2" t="s">
        <v>439</v>
      </c>
      <c r="F496" s="2">
        <v>2.0</v>
      </c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 t="s">
        <v>440</v>
      </c>
      <c r="B497" s="2"/>
      <c r="C497" s="2" t="s">
        <v>441</v>
      </c>
      <c r="D497" s="2"/>
      <c r="E497" s="2" t="s">
        <v>439</v>
      </c>
      <c r="F497" s="2">
        <v>1.0</v>
      </c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 t="s">
        <v>442</v>
      </c>
      <c r="B498" s="2">
        <v>1.0</v>
      </c>
      <c r="C498" s="2" t="s">
        <v>315</v>
      </c>
      <c r="D498" s="2"/>
      <c r="E498" s="2" t="s">
        <v>439</v>
      </c>
      <c r="F498" s="2">
        <v>1.0</v>
      </c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 t="s">
        <v>318</v>
      </c>
      <c r="B499" s="2">
        <v>1.0</v>
      </c>
      <c r="C499" s="2"/>
      <c r="D499" s="2"/>
      <c r="E499" s="2" t="s">
        <v>439</v>
      </c>
      <c r="F499" s="2">
        <v>2.0</v>
      </c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 t="s">
        <v>318</v>
      </c>
      <c r="B500" s="2"/>
      <c r="C500" s="2" t="s">
        <v>443</v>
      </c>
      <c r="D500" s="2"/>
      <c r="E500" s="2" t="s">
        <v>439</v>
      </c>
      <c r="F500" s="2">
        <v>1.0</v>
      </c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 t="s">
        <v>318</v>
      </c>
      <c r="B501" s="2"/>
      <c r="C501" s="2" t="s">
        <v>444</v>
      </c>
      <c r="D501" s="2"/>
      <c r="E501" s="2" t="s">
        <v>439</v>
      </c>
      <c r="F501" s="2">
        <v>1.0</v>
      </c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 t="s">
        <v>445</v>
      </c>
      <c r="B502" s="2">
        <v>1.0</v>
      </c>
      <c r="C502" s="2"/>
      <c r="D502" s="2"/>
      <c r="E502" s="2" t="s">
        <v>439</v>
      </c>
      <c r="F502" s="2">
        <v>1.0</v>
      </c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 t="s">
        <v>446</v>
      </c>
      <c r="B503" s="2">
        <v>1.0</v>
      </c>
      <c r="C503" s="2"/>
      <c r="D503" s="2"/>
      <c r="E503" s="2" t="s">
        <v>439</v>
      </c>
      <c r="F503" s="2">
        <v>2.0</v>
      </c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 t="s">
        <v>446</v>
      </c>
      <c r="B504" s="2"/>
      <c r="C504" s="2" t="s">
        <v>447</v>
      </c>
      <c r="D504" s="2"/>
      <c r="E504" s="2" t="s">
        <v>439</v>
      </c>
      <c r="F504" s="2">
        <v>1.0</v>
      </c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 t="s">
        <v>446</v>
      </c>
      <c r="B505" s="2"/>
      <c r="C505" s="2" t="s">
        <v>138</v>
      </c>
      <c r="D505" s="2"/>
      <c r="E505" s="2" t="s">
        <v>439</v>
      </c>
      <c r="F505" s="2">
        <v>1.0</v>
      </c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 t="s">
        <v>180</v>
      </c>
      <c r="B506" s="2">
        <v>1.0</v>
      </c>
      <c r="C506" s="2" t="s">
        <v>394</v>
      </c>
      <c r="D506" s="2"/>
      <c r="E506" s="2" t="s">
        <v>439</v>
      </c>
      <c r="F506" s="2">
        <v>2.0</v>
      </c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 t="s">
        <v>448</v>
      </c>
      <c r="B507" s="2">
        <v>1.0</v>
      </c>
      <c r="C507" s="2"/>
      <c r="D507" s="2"/>
      <c r="E507" s="2" t="s">
        <v>439</v>
      </c>
      <c r="F507" s="2">
        <v>2.0</v>
      </c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 t="s">
        <v>448</v>
      </c>
      <c r="B508" s="2"/>
      <c r="C508" s="2" t="s">
        <v>449</v>
      </c>
      <c r="D508" s="2"/>
      <c r="E508" s="2" t="s">
        <v>439</v>
      </c>
      <c r="F508" s="2">
        <v>1.0</v>
      </c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 t="s">
        <v>448</v>
      </c>
      <c r="B509" s="2"/>
      <c r="C509" s="2" t="s">
        <v>450</v>
      </c>
      <c r="D509" s="2"/>
      <c r="E509" s="2" t="s">
        <v>439</v>
      </c>
      <c r="F509" s="2">
        <v>1.0</v>
      </c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 t="s">
        <v>448</v>
      </c>
      <c r="B510" s="2"/>
      <c r="C510" s="2" t="s">
        <v>449</v>
      </c>
      <c r="D510" s="2" t="s">
        <v>11</v>
      </c>
      <c r="E510" s="2" t="s">
        <v>439</v>
      </c>
      <c r="F510" s="2">
        <v>1.0</v>
      </c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 t="s">
        <v>448</v>
      </c>
      <c r="B511" s="2"/>
      <c r="C511" s="2" t="s">
        <v>149</v>
      </c>
      <c r="D511" s="2" t="s">
        <v>11</v>
      </c>
      <c r="E511" s="2" t="s">
        <v>439</v>
      </c>
      <c r="F511" s="2">
        <v>1.0</v>
      </c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 t="s">
        <v>448</v>
      </c>
      <c r="B512" s="2"/>
      <c r="C512" s="2" t="s">
        <v>451</v>
      </c>
      <c r="D512" s="2" t="s">
        <v>11</v>
      </c>
      <c r="E512" s="2" t="s">
        <v>439</v>
      </c>
      <c r="F512" s="2">
        <v>1.0</v>
      </c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 t="s">
        <v>452</v>
      </c>
      <c r="B513" s="2">
        <v>1.0</v>
      </c>
      <c r="C513" s="2" t="s">
        <v>453</v>
      </c>
      <c r="D513" s="2"/>
      <c r="E513" s="2" t="s">
        <v>439</v>
      </c>
      <c r="F513" s="2">
        <v>1.0</v>
      </c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 t="s">
        <v>454</v>
      </c>
      <c r="B514" s="2">
        <v>1.0</v>
      </c>
      <c r="C514" s="2" t="s">
        <v>192</v>
      </c>
      <c r="D514" s="2" t="s">
        <v>11</v>
      </c>
      <c r="E514" s="2" t="s">
        <v>439</v>
      </c>
      <c r="F514" s="2">
        <v>1.0</v>
      </c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 t="s">
        <v>454</v>
      </c>
      <c r="B515" s="2"/>
      <c r="C515" s="2" t="s">
        <v>455</v>
      </c>
      <c r="D515" s="2" t="s">
        <v>11</v>
      </c>
      <c r="E515" s="2" t="s">
        <v>439</v>
      </c>
      <c r="F515" s="2">
        <v>1.0</v>
      </c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 t="s">
        <v>100</v>
      </c>
      <c r="B516" s="2">
        <v>1.0</v>
      </c>
      <c r="C516" s="2"/>
      <c r="D516" s="2"/>
      <c r="E516" s="2" t="s">
        <v>439</v>
      </c>
      <c r="F516" s="2">
        <v>1.0</v>
      </c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 t="s">
        <v>456</v>
      </c>
      <c r="B517" s="2">
        <v>1.0</v>
      </c>
      <c r="C517" s="2"/>
      <c r="D517" s="2"/>
      <c r="E517" s="2" t="s">
        <v>439</v>
      </c>
      <c r="F517" s="2">
        <v>1.0</v>
      </c>
      <c r="G517" s="2">
        <f>SUM(F495:F517)</f>
        <v>29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 t="s">
        <v>457</v>
      </c>
      <c r="B518" s="2">
        <v>1.0</v>
      </c>
      <c r="C518" s="2"/>
      <c r="D518" s="2" t="s">
        <v>11</v>
      </c>
      <c r="E518" s="2" t="s">
        <v>458</v>
      </c>
      <c r="F518" s="2">
        <v>1.0</v>
      </c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 t="s">
        <v>459</v>
      </c>
      <c r="B519" s="2">
        <v>1.0</v>
      </c>
      <c r="C519" s="2"/>
      <c r="D519" s="2"/>
      <c r="E519" s="2" t="s">
        <v>458</v>
      </c>
      <c r="F519" s="2">
        <v>1.0</v>
      </c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 t="s">
        <v>459</v>
      </c>
      <c r="B520" s="2"/>
      <c r="C520" s="2"/>
      <c r="D520" s="2" t="s">
        <v>11</v>
      </c>
      <c r="E520" s="2" t="s">
        <v>458</v>
      </c>
      <c r="F520" s="2">
        <v>1.0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 t="s">
        <v>459</v>
      </c>
      <c r="B521" s="2"/>
      <c r="C521" s="2" t="s">
        <v>17</v>
      </c>
      <c r="D521" s="2" t="s">
        <v>11</v>
      </c>
      <c r="E521" s="2" t="s">
        <v>458</v>
      </c>
      <c r="F521" s="2">
        <v>1.0</v>
      </c>
      <c r="G521" s="2">
        <f>SUM(F518:F521)</f>
        <v>4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 t="s">
        <v>460</v>
      </c>
      <c r="B522" s="2">
        <v>1.0</v>
      </c>
      <c r="C522" s="2"/>
      <c r="D522" s="2"/>
      <c r="E522" s="2" t="s">
        <v>461</v>
      </c>
      <c r="F522" s="2">
        <v>4.0</v>
      </c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 t="s">
        <v>460</v>
      </c>
      <c r="B523" s="2"/>
      <c r="C523" s="2" t="s">
        <v>244</v>
      </c>
      <c r="D523" s="2"/>
      <c r="E523" s="2" t="s">
        <v>461</v>
      </c>
      <c r="F523" s="2">
        <v>1.0</v>
      </c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 t="s">
        <v>462</v>
      </c>
      <c r="B524" s="2">
        <v>1.0</v>
      </c>
      <c r="C524" s="2"/>
      <c r="D524" s="2"/>
      <c r="E524" s="2" t="s">
        <v>461</v>
      </c>
      <c r="F524" s="2">
        <v>1.0</v>
      </c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 t="s">
        <v>462</v>
      </c>
      <c r="B525" s="2"/>
      <c r="C525" s="2" t="s">
        <v>138</v>
      </c>
      <c r="D525" s="2"/>
      <c r="E525" s="2" t="s">
        <v>461</v>
      </c>
      <c r="F525" s="2">
        <v>1.0</v>
      </c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 t="s">
        <v>462</v>
      </c>
      <c r="B526" s="2"/>
      <c r="C526" s="2" t="s">
        <v>137</v>
      </c>
      <c r="D526" s="2"/>
      <c r="E526" s="2" t="s">
        <v>461</v>
      </c>
      <c r="F526" s="2">
        <v>1.0</v>
      </c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 t="s">
        <v>462</v>
      </c>
      <c r="B527" s="2"/>
      <c r="C527" s="2" t="s">
        <v>445</v>
      </c>
      <c r="D527" s="2" t="s">
        <v>11</v>
      </c>
      <c r="E527" s="2" t="s">
        <v>461</v>
      </c>
      <c r="F527" s="2">
        <v>1.0</v>
      </c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 t="s">
        <v>463</v>
      </c>
      <c r="B528" s="2">
        <v>1.0</v>
      </c>
      <c r="C528" s="2"/>
      <c r="D528" s="2"/>
      <c r="E528" s="2" t="s">
        <v>461</v>
      </c>
      <c r="F528" s="2">
        <v>1.0</v>
      </c>
      <c r="G528" s="2">
        <f>+SUM(F522:F528)</f>
        <v>10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 t="s">
        <v>464</v>
      </c>
      <c r="B529" s="2">
        <v>1.0</v>
      </c>
      <c r="C529" s="2" t="s">
        <v>17</v>
      </c>
      <c r="D529" s="2" t="s">
        <v>11</v>
      </c>
      <c r="E529" s="2" t="s">
        <v>465</v>
      </c>
      <c r="F529" s="2">
        <v>1.0</v>
      </c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 t="s">
        <v>466</v>
      </c>
      <c r="B530" s="2">
        <v>1.0</v>
      </c>
      <c r="C530" s="2"/>
      <c r="D530" s="2" t="s">
        <v>11</v>
      </c>
      <c r="E530" s="2" t="s">
        <v>465</v>
      </c>
      <c r="F530" s="2">
        <v>1.0</v>
      </c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 t="s">
        <v>467</v>
      </c>
      <c r="B531" s="2">
        <v>1.0</v>
      </c>
      <c r="C531" s="2"/>
      <c r="D531" s="2" t="s">
        <v>11</v>
      </c>
      <c r="E531" s="2" t="s">
        <v>465</v>
      </c>
      <c r="F531" s="2">
        <v>1.0</v>
      </c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 t="s">
        <v>468</v>
      </c>
      <c r="B532" s="2">
        <v>1.0</v>
      </c>
      <c r="C532" s="2"/>
      <c r="D532" s="2"/>
      <c r="E532" s="2" t="s">
        <v>465</v>
      </c>
      <c r="F532" s="2">
        <v>1.0</v>
      </c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 t="s">
        <v>469</v>
      </c>
      <c r="B533" s="2">
        <v>1.0</v>
      </c>
      <c r="C533" s="2"/>
      <c r="D533" s="2"/>
      <c r="E533" s="2" t="s">
        <v>465</v>
      </c>
      <c r="F533" s="2">
        <v>1.0</v>
      </c>
      <c r="G533" s="2">
        <f>+SUM(F529:F533)</f>
        <v>5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 t="s">
        <v>321</v>
      </c>
      <c r="B534" s="2">
        <v>1.0</v>
      </c>
      <c r="C534" s="2"/>
      <c r="D534" s="2"/>
      <c r="E534" s="2" t="s">
        <v>470</v>
      </c>
      <c r="F534" s="2">
        <v>1.0</v>
      </c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 t="s">
        <v>321</v>
      </c>
      <c r="B535" s="2"/>
      <c r="C535" s="2" t="s">
        <v>35</v>
      </c>
      <c r="D535" s="2"/>
      <c r="E535" s="2" t="s">
        <v>470</v>
      </c>
      <c r="F535" s="2">
        <v>1.0</v>
      </c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 t="s">
        <v>327</v>
      </c>
      <c r="B536" s="2">
        <v>1.0</v>
      </c>
      <c r="C536" s="2"/>
      <c r="D536" s="2"/>
      <c r="E536" s="2" t="s">
        <v>470</v>
      </c>
      <c r="F536" s="2">
        <v>1.0</v>
      </c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 t="s">
        <v>180</v>
      </c>
      <c r="B537" s="2">
        <v>1.0</v>
      </c>
      <c r="C537" s="2"/>
      <c r="D537" s="2"/>
      <c r="E537" s="2" t="s">
        <v>470</v>
      </c>
      <c r="F537" s="2">
        <v>1.0</v>
      </c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 t="s">
        <v>180</v>
      </c>
      <c r="B538" s="2"/>
      <c r="C538" s="2" t="s">
        <v>244</v>
      </c>
      <c r="D538" s="2"/>
      <c r="E538" s="2" t="s">
        <v>470</v>
      </c>
      <c r="F538" s="2">
        <v>1.0</v>
      </c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 t="s">
        <v>369</v>
      </c>
      <c r="B539" s="2">
        <v>1.0</v>
      </c>
      <c r="C539" s="2"/>
      <c r="D539" s="2"/>
      <c r="E539" s="2" t="s">
        <v>470</v>
      </c>
      <c r="F539" s="2">
        <v>1.0</v>
      </c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 t="s">
        <v>83</v>
      </c>
      <c r="B540" s="2">
        <v>1.0</v>
      </c>
      <c r="C540" s="2"/>
      <c r="D540" s="2"/>
      <c r="E540" s="2" t="s">
        <v>470</v>
      </c>
      <c r="F540" s="2">
        <v>1.0</v>
      </c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 t="s">
        <v>83</v>
      </c>
      <c r="B541" s="2"/>
      <c r="C541" s="2" t="s">
        <v>471</v>
      </c>
      <c r="D541" s="2"/>
      <c r="E541" s="2" t="s">
        <v>470</v>
      </c>
      <c r="F541" s="2">
        <v>1.0</v>
      </c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 t="s">
        <v>472</v>
      </c>
      <c r="B542" s="2">
        <v>1.0</v>
      </c>
      <c r="C542" s="2"/>
      <c r="D542" s="2"/>
      <c r="E542" s="2" t="s">
        <v>470</v>
      </c>
      <c r="F542" s="2">
        <v>1.0</v>
      </c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 t="s">
        <v>473</v>
      </c>
      <c r="B543" s="2">
        <v>1.0</v>
      </c>
      <c r="C543" s="2"/>
      <c r="D543" s="2"/>
      <c r="E543" s="2" t="s">
        <v>470</v>
      </c>
      <c r="F543" s="2">
        <v>1.0</v>
      </c>
      <c r="G543" s="2">
        <f>+SUM(F534:F543)</f>
        <v>10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8" t="s">
        <v>474</v>
      </c>
      <c r="B544" s="9">
        <v>1.0</v>
      </c>
      <c r="C544" s="2"/>
      <c r="D544" s="9" t="s">
        <v>11</v>
      </c>
      <c r="E544" s="15" t="s">
        <v>475</v>
      </c>
      <c r="F544" s="9">
        <v>1.0</v>
      </c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8" t="s">
        <v>476</v>
      </c>
      <c r="B545" s="9">
        <v>1.0</v>
      </c>
      <c r="C545" s="2"/>
      <c r="D545" s="9" t="s">
        <v>11</v>
      </c>
      <c r="E545" s="15" t="s">
        <v>475</v>
      </c>
      <c r="F545" s="9">
        <v>1.0</v>
      </c>
      <c r="G545" s="2">
        <f>+SUM(F544:F545)</f>
        <v>2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 t="s">
        <v>477</v>
      </c>
      <c r="B546" s="2">
        <v>1.0</v>
      </c>
      <c r="C546" s="2"/>
      <c r="D546" s="2"/>
      <c r="E546" s="2" t="s">
        <v>478</v>
      </c>
      <c r="F546" s="2">
        <v>1.0</v>
      </c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 t="s">
        <v>477</v>
      </c>
      <c r="B547" s="2"/>
      <c r="C547" s="2"/>
      <c r="D547" s="2" t="s">
        <v>11</v>
      </c>
      <c r="E547" s="2" t="s">
        <v>478</v>
      </c>
      <c r="F547" s="2">
        <v>1.0</v>
      </c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 t="s">
        <v>479</v>
      </c>
      <c r="B548" s="2">
        <v>1.0</v>
      </c>
      <c r="C548" s="2" t="s">
        <v>480</v>
      </c>
      <c r="D548" s="2"/>
      <c r="E548" s="2" t="s">
        <v>478</v>
      </c>
      <c r="F548" s="2">
        <v>1.0</v>
      </c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 t="s">
        <v>479</v>
      </c>
      <c r="B549" s="2"/>
      <c r="C549" s="2" t="s">
        <v>481</v>
      </c>
      <c r="D549" s="2"/>
      <c r="E549" s="2" t="s">
        <v>478</v>
      </c>
      <c r="F549" s="2">
        <v>1.0</v>
      </c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 t="s">
        <v>479</v>
      </c>
      <c r="B550" s="2"/>
      <c r="C550" s="2" t="s">
        <v>482</v>
      </c>
      <c r="D550" s="2"/>
      <c r="E550" s="2" t="s">
        <v>478</v>
      </c>
      <c r="F550" s="2">
        <v>1.0</v>
      </c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 t="s">
        <v>483</v>
      </c>
      <c r="B551" s="2">
        <v>1.0</v>
      </c>
      <c r="C551" s="16">
        <v>0.1</v>
      </c>
      <c r="D551" s="2" t="s">
        <v>11</v>
      </c>
      <c r="E551" s="2" t="s">
        <v>478</v>
      </c>
      <c r="F551" s="2">
        <v>1.0</v>
      </c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 t="s">
        <v>483</v>
      </c>
      <c r="B552" s="2"/>
      <c r="C552" s="2" t="s">
        <v>167</v>
      </c>
      <c r="D552" s="2" t="s">
        <v>11</v>
      </c>
      <c r="E552" s="2" t="s">
        <v>478</v>
      </c>
      <c r="F552" s="2">
        <v>1.0</v>
      </c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 t="s">
        <v>483</v>
      </c>
      <c r="B553" s="2"/>
      <c r="C553" s="2" t="s">
        <v>69</v>
      </c>
      <c r="D553" s="2" t="s">
        <v>11</v>
      </c>
      <c r="E553" s="2" t="s">
        <v>478</v>
      </c>
      <c r="F553" s="2">
        <v>1.0</v>
      </c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 t="s">
        <v>483</v>
      </c>
      <c r="B554" s="2"/>
      <c r="C554" s="2" t="s">
        <v>48</v>
      </c>
      <c r="D554" s="2" t="s">
        <v>11</v>
      </c>
      <c r="E554" s="2" t="s">
        <v>478</v>
      </c>
      <c r="F554" s="2">
        <v>1.0</v>
      </c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 t="s">
        <v>483</v>
      </c>
      <c r="B555" s="2"/>
      <c r="C555" s="2" t="s">
        <v>484</v>
      </c>
      <c r="D555" s="2" t="s">
        <v>11</v>
      </c>
      <c r="E555" s="2" t="s">
        <v>478</v>
      </c>
      <c r="F555" s="2">
        <v>1.0</v>
      </c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 t="s">
        <v>483</v>
      </c>
      <c r="B556" s="2"/>
      <c r="C556" s="2" t="s">
        <v>154</v>
      </c>
      <c r="D556" s="2" t="s">
        <v>11</v>
      </c>
      <c r="E556" s="2" t="s">
        <v>478</v>
      </c>
      <c r="F556" s="2">
        <v>1.0</v>
      </c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 t="s">
        <v>483</v>
      </c>
      <c r="B557" s="2"/>
      <c r="C557" s="2" t="s">
        <v>182</v>
      </c>
      <c r="D557" s="2" t="s">
        <v>11</v>
      </c>
      <c r="E557" s="2" t="s">
        <v>478</v>
      </c>
      <c r="F557" s="2">
        <v>1.0</v>
      </c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 t="s">
        <v>485</v>
      </c>
      <c r="B558" s="2">
        <v>1.0</v>
      </c>
      <c r="C558" s="2" t="s">
        <v>282</v>
      </c>
      <c r="D558" s="2"/>
      <c r="E558" s="2" t="s">
        <v>478</v>
      </c>
      <c r="F558" s="2">
        <v>1.0</v>
      </c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 t="s">
        <v>486</v>
      </c>
      <c r="B559" s="2">
        <v>1.0</v>
      </c>
      <c r="C559" s="2" t="s">
        <v>39</v>
      </c>
      <c r="D559" s="2"/>
      <c r="E559" s="2" t="s">
        <v>478</v>
      </c>
      <c r="F559" s="2">
        <v>1.0</v>
      </c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 t="s">
        <v>486</v>
      </c>
      <c r="B560" s="2"/>
      <c r="C560" s="2" t="s">
        <v>487</v>
      </c>
      <c r="D560" s="2"/>
      <c r="E560" s="2" t="s">
        <v>478</v>
      </c>
      <c r="F560" s="2">
        <v>1.0</v>
      </c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 t="s">
        <v>486</v>
      </c>
      <c r="B561" s="2"/>
      <c r="C561" s="2" t="s">
        <v>282</v>
      </c>
      <c r="D561" s="2" t="s">
        <v>11</v>
      </c>
      <c r="E561" s="2" t="s">
        <v>478</v>
      </c>
      <c r="F561" s="2">
        <v>1.0</v>
      </c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 t="s">
        <v>486</v>
      </c>
      <c r="B562" s="2"/>
      <c r="C562" s="2" t="s">
        <v>488</v>
      </c>
      <c r="D562" s="2" t="s">
        <v>11</v>
      </c>
      <c r="E562" s="2" t="s">
        <v>478</v>
      </c>
      <c r="F562" s="2">
        <v>1.0</v>
      </c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 t="s">
        <v>486</v>
      </c>
      <c r="B563" s="2"/>
      <c r="C563" s="2" t="s">
        <v>489</v>
      </c>
      <c r="D563" s="2" t="s">
        <v>11</v>
      </c>
      <c r="E563" s="2" t="s">
        <v>478</v>
      </c>
      <c r="F563" s="2">
        <v>1.0</v>
      </c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 t="s">
        <v>490</v>
      </c>
      <c r="B564" s="2">
        <v>1.0</v>
      </c>
      <c r="C564" s="2" t="s">
        <v>484</v>
      </c>
      <c r="D564" s="2" t="s">
        <v>11</v>
      </c>
      <c r="E564" s="2" t="s">
        <v>478</v>
      </c>
      <c r="F564" s="2">
        <v>1.0</v>
      </c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 t="s">
        <v>490</v>
      </c>
      <c r="B565" s="2"/>
      <c r="C565" s="2"/>
      <c r="D565" s="2" t="s">
        <v>11</v>
      </c>
      <c r="E565" s="2" t="s">
        <v>478</v>
      </c>
      <c r="F565" s="2">
        <v>1.0</v>
      </c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 t="s">
        <v>490</v>
      </c>
      <c r="B566" s="2"/>
      <c r="C566" s="2" t="s">
        <v>491</v>
      </c>
      <c r="D566" s="2" t="s">
        <v>11</v>
      </c>
      <c r="E566" s="2" t="s">
        <v>478</v>
      </c>
      <c r="F566" s="2">
        <v>1.0</v>
      </c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 t="s">
        <v>492</v>
      </c>
      <c r="B567" s="2">
        <v>1.0</v>
      </c>
      <c r="C567" s="2"/>
      <c r="D567" s="2"/>
      <c r="E567" s="2" t="s">
        <v>478</v>
      </c>
      <c r="F567" s="2">
        <v>1.0</v>
      </c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 t="s">
        <v>492</v>
      </c>
      <c r="B568" s="2"/>
      <c r="C568" s="2" t="s">
        <v>493</v>
      </c>
      <c r="D568" s="2" t="s">
        <v>11</v>
      </c>
      <c r="E568" s="2" t="s">
        <v>478</v>
      </c>
      <c r="F568" s="2">
        <v>1.0</v>
      </c>
      <c r="G568" s="2">
        <f>+SUM(F546:F568)</f>
        <v>23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 t="s">
        <v>494</v>
      </c>
      <c r="B569" s="2">
        <v>1.0</v>
      </c>
      <c r="C569" s="2"/>
      <c r="D569" s="2"/>
      <c r="E569" s="2" t="s">
        <v>495</v>
      </c>
      <c r="F569" s="2">
        <v>1.0</v>
      </c>
      <c r="G569" s="1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 t="s">
        <v>496</v>
      </c>
      <c r="B570" s="2">
        <v>1.0</v>
      </c>
      <c r="C570" s="2"/>
      <c r="D570" s="2"/>
      <c r="E570" s="2" t="s">
        <v>495</v>
      </c>
      <c r="F570" s="2">
        <v>1.0</v>
      </c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 t="s">
        <v>497</v>
      </c>
      <c r="B571" s="2">
        <v>1.0</v>
      </c>
      <c r="C571" s="2"/>
      <c r="D571" s="2" t="s">
        <v>11</v>
      </c>
      <c r="E571" s="2" t="s">
        <v>495</v>
      </c>
      <c r="F571" s="2">
        <v>1.0</v>
      </c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 t="s">
        <v>498</v>
      </c>
      <c r="B572" s="2">
        <v>1.0</v>
      </c>
      <c r="C572" s="2"/>
      <c r="D572" s="2"/>
      <c r="E572" s="2" t="s">
        <v>495</v>
      </c>
      <c r="F572" s="2">
        <v>1.0</v>
      </c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 t="s">
        <v>499</v>
      </c>
      <c r="B573" s="2">
        <v>1.0</v>
      </c>
      <c r="C573" s="2"/>
      <c r="D573" s="2"/>
      <c r="E573" s="2" t="s">
        <v>495</v>
      </c>
      <c r="F573" s="2">
        <v>1.0</v>
      </c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 t="s">
        <v>500</v>
      </c>
      <c r="B574" s="2">
        <v>1.0</v>
      </c>
      <c r="C574" s="2"/>
      <c r="D574" s="2"/>
      <c r="E574" s="2" t="s">
        <v>495</v>
      </c>
      <c r="F574" s="2">
        <v>1.0</v>
      </c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 t="s">
        <v>501</v>
      </c>
      <c r="B575" s="2">
        <v>1.0</v>
      </c>
      <c r="C575" s="2" t="s">
        <v>502</v>
      </c>
      <c r="D575" s="2" t="s">
        <v>11</v>
      </c>
      <c r="E575" s="2" t="s">
        <v>495</v>
      </c>
      <c r="F575" s="2">
        <v>1.0</v>
      </c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 t="s">
        <v>503</v>
      </c>
      <c r="B576" s="2">
        <v>1.0</v>
      </c>
      <c r="C576" s="2"/>
      <c r="D576" s="2"/>
      <c r="E576" s="2" t="s">
        <v>495</v>
      </c>
      <c r="F576" s="2">
        <v>1.0</v>
      </c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 t="s">
        <v>504</v>
      </c>
      <c r="B577" s="2">
        <v>1.0</v>
      </c>
      <c r="C577" s="2"/>
      <c r="D577" s="2"/>
      <c r="E577" s="2" t="s">
        <v>495</v>
      </c>
      <c r="F577" s="2">
        <v>6.0</v>
      </c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 t="s">
        <v>504</v>
      </c>
      <c r="B578" s="2"/>
      <c r="C578" s="2" t="s">
        <v>244</v>
      </c>
      <c r="D578" s="2"/>
      <c r="E578" s="2" t="s">
        <v>495</v>
      </c>
      <c r="F578" s="2">
        <v>2.0</v>
      </c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 t="s">
        <v>504</v>
      </c>
      <c r="B579" s="2"/>
      <c r="C579" s="2">
        <v>66.0</v>
      </c>
      <c r="D579" s="2"/>
      <c r="E579" s="2" t="s">
        <v>495</v>
      </c>
      <c r="F579" s="2">
        <v>1.0</v>
      </c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 t="s">
        <v>504</v>
      </c>
      <c r="B580" s="2"/>
      <c r="C580" s="2"/>
      <c r="D580" s="2" t="s">
        <v>11</v>
      </c>
      <c r="E580" s="2" t="s">
        <v>495</v>
      </c>
      <c r="F580" s="2">
        <v>4.0</v>
      </c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 t="s">
        <v>504</v>
      </c>
      <c r="B581" s="2"/>
      <c r="C581" s="2" t="s">
        <v>505</v>
      </c>
      <c r="D581" s="2" t="s">
        <v>11</v>
      </c>
      <c r="E581" s="2" t="s">
        <v>495</v>
      </c>
      <c r="F581" s="2">
        <v>1.0</v>
      </c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 t="s">
        <v>504</v>
      </c>
      <c r="B582" s="2"/>
      <c r="C582" s="2" t="s">
        <v>506</v>
      </c>
      <c r="D582" s="2" t="s">
        <v>11</v>
      </c>
      <c r="E582" s="2" t="s">
        <v>495</v>
      </c>
      <c r="F582" s="2">
        <v>1.0</v>
      </c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 t="s">
        <v>507</v>
      </c>
      <c r="B583" s="2">
        <v>1.0</v>
      </c>
      <c r="C583" s="2"/>
      <c r="D583" s="2"/>
      <c r="E583" s="2" t="s">
        <v>495</v>
      </c>
      <c r="F583" s="2">
        <v>1.0</v>
      </c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 t="s">
        <v>508</v>
      </c>
      <c r="B584" s="2">
        <v>1.0</v>
      </c>
      <c r="C584" s="2"/>
      <c r="D584" s="2"/>
      <c r="E584" s="2" t="s">
        <v>495</v>
      </c>
      <c r="F584" s="2">
        <v>1.0</v>
      </c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 t="s">
        <v>508</v>
      </c>
      <c r="B585" s="2"/>
      <c r="C585" s="2" t="s">
        <v>244</v>
      </c>
      <c r="D585" s="2"/>
      <c r="E585" s="2" t="s">
        <v>495</v>
      </c>
      <c r="F585" s="2">
        <v>1.0</v>
      </c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 t="s">
        <v>442</v>
      </c>
      <c r="B586" s="2">
        <v>1.0</v>
      </c>
      <c r="C586" s="2"/>
      <c r="D586" s="2"/>
      <c r="E586" s="2" t="s">
        <v>495</v>
      </c>
      <c r="F586" s="2">
        <v>1.0</v>
      </c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 t="s">
        <v>442</v>
      </c>
      <c r="B587" s="2"/>
      <c r="C587" s="2" t="s">
        <v>244</v>
      </c>
      <c r="D587" s="2"/>
      <c r="E587" s="2" t="s">
        <v>495</v>
      </c>
      <c r="F587" s="2">
        <v>1.0</v>
      </c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 t="s">
        <v>509</v>
      </c>
      <c r="B588" s="2">
        <v>1.0</v>
      </c>
      <c r="C588" s="2" t="s">
        <v>244</v>
      </c>
      <c r="D588" s="2"/>
      <c r="E588" s="2" t="s">
        <v>495</v>
      </c>
      <c r="F588" s="2">
        <v>1.0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 t="s">
        <v>510</v>
      </c>
      <c r="B589" s="2">
        <v>1.0</v>
      </c>
      <c r="C589" s="2"/>
      <c r="D589" s="2"/>
      <c r="E589" s="2" t="s">
        <v>495</v>
      </c>
      <c r="F589" s="2">
        <v>1.0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 t="s">
        <v>511</v>
      </c>
      <c r="B590" s="2">
        <v>1.0</v>
      </c>
      <c r="C590" s="2"/>
      <c r="D590" s="2" t="s">
        <v>11</v>
      </c>
      <c r="E590" s="2" t="s">
        <v>495</v>
      </c>
      <c r="F590" s="2">
        <v>1.0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 t="s">
        <v>512</v>
      </c>
      <c r="B591" s="2">
        <v>1.0</v>
      </c>
      <c r="C591" s="2"/>
      <c r="D591" s="2"/>
      <c r="E591" s="2" t="s">
        <v>495</v>
      </c>
      <c r="F591" s="2">
        <v>1.0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 t="s">
        <v>513</v>
      </c>
      <c r="B592" s="2">
        <v>1.0</v>
      </c>
      <c r="C592" s="2" t="s">
        <v>244</v>
      </c>
      <c r="D592" s="2"/>
      <c r="E592" s="2" t="s">
        <v>495</v>
      </c>
      <c r="F592" s="2">
        <v>1.0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 t="s">
        <v>514</v>
      </c>
      <c r="B593" s="2">
        <v>1.0</v>
      </c>
      <c r="C593" s="2"/>
      <c r="D593" s="2"/>
      <c r="E593" s="2" t="s">
        <v>495</v>
      </c>
      <c r="F593" s="2">
        <v>1.0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 t="s">
        <v>372</v>
      </c>
      <c r="B594" s="2">
        <v>1.0</v>
      </c>
      <c r="C594" s="2"/>
      <c r="D594" s="2"/>
      <c r="E594" s="2" t="s">
        <v>495</v>
      </c>
      <c r="F594" s="2">
        <v>1.0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 t="s">
        <v>515</v>
      </c>
      <c r="B595" s="2">
        <v>1.0</v>
      </c>
      <c r="C595" s="2"/>
      <c r="D595" s="2"/>
      <c r="E595" s="2" t="s">
        <v>495</v>
      </c>
      <c r="F595" s="2">
        <v>1.0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 t="s">
        <v>516</v>
      </c>
      <c r="B596" s="2">
        <v>1.0</v>
      </c>
      <c r="C596" s="2"/>
      <c r="D596" s="2"/>
      <c r="E596" s="2" t="s">
        <v>495</v>
      </c>
      <c r="F596" s="2">
        <v>1.0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 t="s">
        <v>517</v>
      </c>
      <c r="B597" s="2">
        <v>1.0</v>
      </c>
      <c r="C597" s="2"/>
      <c r="D597" s="2"/>
      <c r="E597" s="2" t="s">
        <v>495</v>
      </c>
      <c r="F597" s="2">
        <v>1.0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 t="s">
        <v>518</v>
      </c>
      <c r="B598" s="2">
        <v>1.0</v>
      </c>
      <c r="C598" s="2"/>
      <c r="D598" s="2"/>
      <c r="E598" s="2" t="s">
        <v>495</v>
      </c>
      <c r="F598" s="2">
        <v>1.0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 t="s">
        <v>519</v>
      </c>
      <c r="B599" s="2">
        <v>1.0</v>
      </c>
      <c r="C599" s="2"/>
      <c r="D599" s="2"/>
      <c r="E599" s="2" t="s">
        <v>495</v>
      </c>
      <c r="F599" s="2">
        <v>2.0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 t="s">
        <v>519</v>
      </c>
      <c r="B600" s="2"/>
      <c r="C600" s="2" t="s">
        <v>520</v>
      </c>
      <c r="D600" s="2"/>
      <c r="E600" s="2" t="s">
        <v>495</v>
      </c>
      <c r="F600" s="2">
        <v>1.0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 t="s">
        <v>519</v>
      </c>
      <c r="B601" s="2"/>
      <c r="C601" s="2"/>
      <c r="D601" s="2" t="s">
        <v>11</v>
      </c>
      <c r="E601" s="2" t="s">
        <v>495</v>
      </c>
      <c r="F601" s="2">
        <v>1.0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 t="s">
        <v>519</v>
      </c>
      <c r="B602" s="2"/>
      <c r="C602" s="2">
        <v>2018.0</v>
      </c>
      <c r="D602" s="2" t="s">
        <v>11</v>
      </c>
      <c r="E602" s="2" t="s">
        <v>495</v>
      </c>
      <c r="F602" s="2">
        <v>1.0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 t="s">
        <v>521</v>
      </c>
      <c r="B603" s="2">
        <v>1.0</v>
      </c>
      <c r="C603" s="2"/>
      <c r="D603" s="2"/>
      <c r="E603" s="2" t="s">
        <v>495</v>
      </c>
      <c r="F603" s="2">
        <v>1.0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 t="s">
        <v>522</v>
      </c>
      <c r="B604" s="2"/>
      <c r="C604" s="2" t="s">
        <v>523</v>
      </c>
      <c r="D604" s="2"/>
      <c r="E604" s="2" t="s">
        <v>495</v>
      </c>
      <c r="F604" s="2">
        <v>1.0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 t="s">
        <v>522</v>
      </c>
      <c r="B605" s="2"/>
      <c r="C605" s="2" t="s">
        <v>524</v>
      </c>
      <c r="D605" s="2"/>
      <c r="E605" s="2" t="s">
        <v>495</v>
      </c>
      <c r="F605" s="2">
        <v>1.0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 t="s">
        <v>525</v>
      </c>
      <c r="B606" s="2">
        <v>1.0</v>
      </c>
      <c r="C606" s="2"/>
      <c r="D606" s="2"/>
      <c r="E606" s="2" t="s">
        <v>495</v>
      </c>
      <c r="F606" s="2">
        <v>1.0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 t="s">
        <v>526</v>
      </c>
      <c r="B607" s="2">
        <v>1.0</v>
      </c>
      <c r="C607" s="2"/>
      <c r="D607" s="2"/>
      <c r="E607" s="2" t="s">
        <v>495</v>
      </c>
      <c r="F607" s="2">
        <v>1.0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 t="s">
        <v>526</v>
      </c>
      <c r="B608" s="2"/>
      <c r="C608" s="2" t="s">
        <v>444</v>
      </c>
      <c r="D608" s="2"/>
      <c r="E608" s="2" t="s">
        <v>495</v>
      </c>
      <c r="F608" s="2">
        <v>1.0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 t="s">
        <v>527</v>
      </c>
      <c r="B609" s="2">
        <v>1.0</v>
      </c>
      <c r="C609" s="2"/>
      <c r="D609" s="2"/>
      <c r="E609" s="2" t="s">
        <v>495</v>
      </c>
      <c r="F609" s="2">
        <v>1.0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 t="s">
        <v>528</v>
      </c>
      <c r="B610" s="2">
        <v>1.0</v>
      </c>
      <c r="C610" s="2"/>
      <c r="D610" s="2"/>
      <c r="E610" s="2" t="s">
        <v>495</v>
      </c>
      <c r="F610" s="2">
        <v>1.0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 t="s">
        <v>529</v>
      </c>
      <c r="B611" s="2">
        <v>1.0</v>
      </c>
      <c r="C611" s="2"/>
      <c r="D611" s="2"/>
      <c r="E611" s="2" t="s">
        <v>495</v>
      </c>
      <c r="F611" s="2">
        <v>1.0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 t="s">
        <v>529</v>
      </c>
      <c r="B612" s="2"/>
      <c r="C612" s="2" t="s">
        <v>244</v>
      </c>
      <c r="D612" s="2"/>
      <c r="E612" s="2" t="s">
        <v>495</v>
      </c>
      <c r="F612" s="2">
        <v>1.0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 t="s">
        <v>530</v>
      </c>
      <c r="B613" s="2">
        <v>1.0</v>
      </c>
      <c r="C613" s="2"/>
      <c r="D613" s="2"/>
      <c r="E613" s="2" t="s">
        <v>495</v>
      </c>
      <c r="F613" s="2">
        <v>1.0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 t="s">
        <v>531</v>
      </c>
      <c r="B614" s="2">
        <v>1.0</v>
      </c>
      <c r="C614" s="2"/>
      <c r="D614" s="2"/>
      <c r="E614" s="2" t="s">
        <v>495</v>
      </c>
      <c r="F614" s="2">
        <v>1.0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 t="s">
        <v>532</v>
      </c>
      <c r="B615" s="2">
        <v>1.0</v>
      </c>
      <c r="C615" s="2"/>
      <c r="D615" s="2"/>
      <c r="E615" s="2" t="s">
        <v>495</v>
      </c>
      <c r="F615" s="2">
        <v>1.0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 t="s">
        <v>533</v>
      </c>
      <c r="B616" s="2">
        <v>1.0</v>
      </c>
      <c r="C616" s="2"/>
      <c r="D616" s="2"/>
      <c r="E616" s="2" t="s">
        <v>495</v>
      </c>
      <c r="F616" s="2">
        <v>1.0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 t="s">
        <v>534</v>
      </c>
      <c r="B617" s="2">
        <v>1.0</v>
      </c>
      <c r="C617" s="2"/>
      <c r="D617" s="2"/>
      <c r="E617" s="2" t="s">
        <v>495</v>
      </c>
      <c r="F617" s="2">
        <v>1.0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 t="s">
        <v>535</v>
      </c>
      <c r="B618" s="2">
        <v>1.0</v>
      </c>
      <c r="C618" s="2" t="s">
        <v>536</v>
      </c>
      <c r="D618" s="2" t="s">
        <v>11</v>
      </c>
      <c r="E618" s="2" t="s">
        <v>495</v>
      </c>
      <c r="F618" s="2">
        <v>1.0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 t="s">
        <v>535</v>
      </c>
      <c r="B619" s="2"/>
      <c r="C619" s="2" t="s">
        <v>537</v>
      </c>
      <c r="D619" s="2" t="s">
        <v>11</v>
      </c>
      <c r="E619" s="2" t="s">
        <v>495</v>
      </c>
      <c r="F619" s="2">
        <v>1.0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 t="s">
        <v>535</v>
      </c>
      <c r="B620" s="2"/>
      <c r="C620" s="2" t="s">
        <v>538</v>
      </c>
      <c r="D620" s="2" t="s">
        <v>11</v>
      </c>
      <c r="E620" s="2" t="s">
        <v>495</v>
      </c>
      <c r="F620" s="2">
        <v>1.0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 t="s">
        <v>539</v>
      </c>
      <c r="B621" s="2">
        <v>1.0</v>
      </c>
      <c r="C621" s="2"/>
      <c r="D621" s="2"/>
      <c r="E621" s="2" t="s">
        <v>495</v>
      </c>
      <c r="F621" s="2">
        <v>1.0</v>
      </c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 t="s">
        <v>540</v>
      </c>
      <c r="B622" s="2">
        <v>1.0</v>
      </c>
      <c r="C622" s="2"/>
      <c r="D622" s="2"/>
      <c r="E622" s="2" t="s">
        <v>495</v>
      </c>
      <c r="F622" s="2">
        <v>1.0</v>
      </c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 t="s">
        <v>541</v>
      </c>
      <c r="B623" s="2">
        <v>1.0</v>
      </c>
      <c r="C623" s="2"/>
      <c r="D623" s="2"/>
      <c r="E623" s="2" t="s">
        <v>495</v>
      </c>
      <c r="F623" s="2">
        <v>1.0</v>
      </c>
      <c r="G623" s="2">
        <f>SUM(F569:F623)</f>
        <v>65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 t="s">
        <v>542</v>
      </c>
      <c r="B624" s="2">
        <v>1.0</v>
      </c>
      <c r="C624" s="2" t="s">
        <v>543</v>
      </c>
      <c r="D624" s="2" t="s">
        <v>11</v>
      </c>
      <c r="E624" s="2" t="s">
        <v>544</v>
      </c>
      <c r="F624" s="2">
        <v>1.0</v>
      </c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 t="s">
        <v>542</v>
      </c>
      <c r="B625" s="2"/>
      <c r="C625" s="2" t="s">
        <v>17</v>
      </c>
      <c r="D625" s="2" t="s">
        <v>11</v>
      </c>
      <c r="E625" s="2" t="s">
        <v>544</v>
      </c>
      <c r="F625" s="2">
        <v>1.0</v>
      </c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 t="s">
        <v>545</v>
      </c>
      <c r="B626" s="2">
        <v>1.0</v>
      </c>
      <c r="C626" s="2"/>
      <c r="D626" s="2"/>
      <c r="E626" s="2" t="s">
        <v>544</v>
      </c>
      <c r="F626" s="2">
        <v>1.0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 t="s">
        <v>545</v>
      </c>
      <c r="B627" s="2"/>
      <c r="C627" s="2" t="s">
        <v>10</v>
      </c>
      <c r="D627" s="2" t="s">
        <v>11</v>
      </c>
      <c r="E627" s="2" t="s">
        <v>544</v>
      </c>
      <c r="F627" s="2">
        <v>1.0</v>
      </c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 t="s">
        <v>546</v>
      </c>
      <c r="B628" s="2">
        <v>1.0</v>
      </c>
      <c r="C628" s="2" t="s">
        <v>547</v>
      </c>
      <c r="D628" s="2" t="s">
        <v>11</v>
      </c>
      <c r="E628" s="2" t="s">
        <v>544</v>
      </c>
      <c r="F628" s="2">
        <v>1.0</v>
      </c>
      <c r="G628" s="2">
        <f>SUM(F624:F628)</f>
        <v>5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8" t="s">
        <v>548</v>
      </c>
      <c r="B629" s="9">
        <v>1.0</v>
      </c>
      <c r="C629" s="9" t="s">
        <v>69</v>
      </c>
      <c r="D629" s="9" t="s">
        <v>11</v>
      </c>
      <c r="E629" s="11" t="s">
        <v>549</v>
      </c>
      <c r="F629" s="9">
        <v>1.0</v>
      </c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8" t="s">
        <v>550</v>
      </c>
      <c r="B630" s="9">
        <v>1.0</v>
      </c>
      <c r="C630" s="9"/>
      <c r="D630" s="9" t="s">
        <v>11</v>
      </c>
      <c r="E630" s="11" t="s">
        <v>549</v>
      </c>
      <c r="F630" s="9">
        <v>1.0</v>
      </c>
      <c r="G630" s="2">
        <f>SUM(F629:F630)</f>
        <v>2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8" t="s">
        <v>551</v>
      </c>
      <c r="B631" s="9">
        <v>1.0</v>
      </c>
      <c r="C631" s="9" t="s">
        <v>552</v>
      </c>
      <c r="D631" s="9" t="s">
        <v>11</v>
      </c>
      <c r="E631" s="9" t="s">
        <v>553</v>
      </c>
      <c r="F631" s="9">
        <v>1.0</v>
      </c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8" t="s">
        <v>554</v>
      </c>
      <c r="B632" s="9">
        <v>1.0</v>
      </c>
      <c r="C632" s="9" t="s">
        <v>10</v>
      </c>
      <c r="D632" s="9" t="s">
        <v>11</v>
      </c>
      <c r="E632" s="9" t="s">
        <v>553</v>
      </c>
      <c r="F632" s="9">
        <v>1.0</v>
      </c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 t="s">
        <v>555</v>
      </c>
      <c r="B633" s="2">
        <v>1.0</v>
      </c>
      <c r="C633" s="2"/>
      <c r="D633" s="2"/>
      <c r="E633" s="2" t="s">
        <v>553</v>
      </c>
      <c r="F633" s="2">
        <v>1.0</v>
      </c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 t="s">
        <v>556</v>
      </c>
      <c r="B634" s="2">
        <v>1.0</v>
      </c>
      <c r="C634" s="2" t="s">
        <v>97</v>
      </c>
      <c r="D634" s="2" t="s">
        <v>11</v>
      </c>
      <c r="E634" s="2" t="s">
        <v>553</v>
      </c>
      <c r="F634" s="2">
        <v>1.0</v>
      </c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 t="s">
        <v>556</v>
      </c>
      <c r="B635" s="2"/>
      <c r="C635" s="2" t="s">
        <v>557</v>
      </c>
      <c r="D635" s="2" t="s">
        <v>11</v>
      </c>
      <c r="E635" s="2" t="s">
        <v>553</v>
      </c>
      <c r="F635" s="2">
        <v>1.0</v>
      </c>
      <c r="G635" s="2">
        <f>SUM(F631:F635)</f>
        <v>5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 t="s">
        <v>558</v>
      </c>
      <c r="B636" s="2">
        <v>1.0</v>
      </c>
      <c r="C636" s="2"/>
      <c r="D636" s="2" t="s">
        <v>11</v>
      </c>
      <c r="E636" s="2" t="s">
        <v>559</v>
      </c>
      <c r="F636" s="2">
        <v>1.0</v>
      </c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 t="s">
        <v>560</v>
      </c>
      <c r="B637" s="2">
        <v>1.0</v>
      </c>
      <c r="C637" s="2"/>
      <c r="D637" s="2"/>
      <c r="E637" s="2" t="s">
        <v>559</v>
      </c>
      <c r="F637" s="2">
        <v>1.0</v>
      </c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 t="s">
        <v>561</v>
      </c>
      <c r="B638" s="2">
        <v>1.0</v>
      </c>
      <c r="C638" s="2"/>
      <c r="D638" s="2"/>
      <c r="E638" s="2" t="s">
        <v>559</v>
      </c>
      <c r="F638" s="2">
        <v>1.0</v>
      </c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 t="s">
        <v>561</v>
      </c>
      <c r="B639" s="2"/>
      <c r="C639" s="2" t="s">
        <v>562</v>
      </c>
      <c r="D639" s="2"/>
      <c r="E639" s="2" t="s">
        <v>559</v>
      </c>
      <c r="F639" s="2">
        <v>1.0</v>
      </c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 t="s">
        <v>561</v>
      </c>
      <c r="B640" s="2"/>
      <c r="C640" s="2" t="s">
        <v>563</v>
      </c>
      <c r="D640" s="2"/>
      <c r="E640" s="2" t="s">
        <v>559</v>
      </c>
      <c r="F640" s="2">
        <v>1.0</v>
      </c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 t="s">
        <v>564</v>
      </c>
      <c r="B641" s="2">
        <v>1.0</v>
      </c>
      <c r="C641" s="2"/>
      <c r="D641" s="2"/>
      <c r="E641" s="2" t="s">
        <v>559</v>
      </c>
      <c r="F641" s="2">
        <v>1.0</v>
      </c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 t="s">
        <v>565</v>
      </c>
      <c r="B642" s="2"/>
      <c r="C642" s="2"/>
      <c r="D642" s="2"/>
      <c r="E642" s="2" t="s">
        <v>559</v>
      </c>
      <c r="F642" s="2">
        <v>1.0</v>
      </c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 t="s">
        <v>566</v>
      </c>
      <c r="B643" s="2">
        <v>1.0</v>
      </c>
      <c r="C643" s="2" t="s">
        <v>567</v>
      </c>
      <c r="D643" s="2"/>
      <c r="E643" s="2" t="s">
        <v>559</v>
      </c>
      <c r="F643" s="2">
        <v>1.0</v>
      </c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 t="s">
        <v>568</v>
      </c>
      <c r="B644" s="2">
        <v>1.0</v>
      </c>
      <c r="C644" s="2"/>
      <c r="D644" s="2"/>
      <c r="E644" s="2" t="s">
        <v>559</v>
      </c>
      <c r="F644" s="2">
        <v>1.0</v>
      </c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 t="s">
        <v>568</v>
      </c>
      <c r="B645" s="2"/>
      <c r="C645" s="2" t="s">
        <v>569</v>
      </c>
      <c r="D645" s="2"/>
      <c r="E645" s="2" t="s">
        <v>559</v>
      </c>
      <c r="F645" s="2">
        <v>1.0</v>
      </c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 t="s">
        <v>568</v>
      </c>
      <c r="B646" s="2"/>
      <c r="C646" s="2" t="s">
        <v>83</v>
      </c>
      <c r="D646" s="2"/>
      <c r="E646" s="2" t="s">
        <v>559</v>
      </c>
      <c r="F646" s="2">
        <v>1.0</v>
      </c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 t="s">
        <v>568</v>
      </c>
      <c r="B647" s="2"/>
      <c r="C647" s="2" t="s">
        <v>569</v>
      </c>
      <c r="D647" s="2"/>
      <c r="E647" s="2" t="s">
        <v>559</v>
      </c>
      <c r="F647" s="2">
        <v>1.0</v>
      </c>
      <c r="G647" s="2" t="s">
        <v>413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 t="s">
        <v>570</v>
      </c>
      <c r="B648" s="2">
        <v>1.0</v>
      </c>
      <c r="C648" s="2"/>
      <c r="D648" s="2"/>
      <c r="E648" s="2" t="s">
        <v>559</v>
      </c>
      <c r="F648" s="2">
        <v>1.0</v>
      </c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 t="s">
        <v>571</v>
      </c>
      <c r="B649" s="2">
        <v>1.0</v>
      </c>
      <c r="C649" s="2"/>
      <c r="D649" s="2"/>
      <c r="E649" s="2" t="s">
        <v>559</v>
      </c>
      <c r="F649" s="2">
        <v>1.0</v>
      </c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 t="s">
        <v>572</v>
      </c>
      <c r="B650" s="2">
        <v>1.0</v>
      </c>
      <c r="C650" s="2" t="s">
        <v>573</v>
      </c>
      <c r="D650" s="2"/>
      <c r="E650" s="2" t="s">
        <v>559</v>
      </c>
      <c r="F650" s="2">
        <v>1.0</v>
      </c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 t="s">
        <v>574</v>
      </c>
      <c r="B651" s="2">
        <v>1.0</v>
      </c>
      <c r="C651" s="2"/>
      <c r="D651" s="2"/>
      <c r="E651" s="2" t="s">
        <v>559</v>
      </c>
      <c r="F651" s="2">
        <v>1.0</v>
      </c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 t="s">
        <v>563</v>
      </c>
      <c r="B652" s="2">
        <v>1.0</v>
      </c>
      <c r="C652" s="2"/>
      <c r="D652" s="2"/>
      <c r="E652" s="2" t="s">
        <v>559</v>
      </c>
      <c r="F652" s="2">
        <v>1.0</v>
      </c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 t="s">
        <v>575</v>
      </c>
      <c r="B653" s="2">
        <v>1.0</v>
      </c>
      <c r="C653" s="2"/>
      <c r="D653" s="2"/>
      <c r="E653" s="2" t="s">
        <v>559</v>
      </c>
      <c r="F653" s="2">
        <v>1.0</v>
      </c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 t="s">
        <v>575</v>
      </c>
      <c r="B654" s="2"/>
      <c r="C654" s="2"/>
      <c r="D654" s="2" t="s">
        <v>11</v>
      </c>
      <c r="E654" s="2" t="s">
        <v>559</v>
      </c>
      <c r="F654" s="2">
        <v>2.0</v>
      </c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 t="s">
        <v>576</v>
      </c>
      <c r="B655" s="2">
        <v>1.0</v>
      </c>
      <c r="C655" s="2"/>
      <c r="D655" s="2"/>
      <c r="E655" s="2" t="s">
        <v>559</v>
      </c>
      <c r="F655" s="2">
        <v>1.0</v>
      </c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 t="s">
        <v>577</v>
      </c>
      <c r="B656" s="2">
        <v>1.0</v>
      </c>
      <c r="C656" s="2"/>
      <c r="D656" s="2"/>
      <c r="E656" s="2" t="s">
        <v>559</v>
      </c>
      <c r="F656" s="2">
        <v>1.0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 t="s">
        <v>577</v>
      </c>
      <c r="B657" s="2"/>
      <c r="C657" s="2"/>
      <c r="D657" s="2" t="s">
        <v>11</v>
      </c>
      <c r="E657" s="2" t="s">
        <v>559</v>
      </c>
      <c r="F657" s="2">
        <v>1.0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 t="s">
        <v>577</v>
      </c>
      <c r="B658" s="2"/>
      <c r="C658" s="7">
        <v>0.0</v>
      </c>
      <c r="D658" s="2" t="s">
        <v>11</v>
      </c>
      <c r="E658" s="2" t="s">
        <v>559</v>
      </c>
      <c r="F658" s="2">
        <v>1.0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 t="s">
        <v>578</v>
      </c>
      <c r="B659" s="2">
        <v>1.0</v>
      </c>
      <c r="C659" s="2" t="s">
        <v>579</v>
      </c>
      <c r="D659" s="2"/>
      <c r="E659" s="2" t="s">
        <v>559</v>
      </c>
      <c r="F659" s="2">
        <v>1.0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 t="s">
        <v>580</v>
      </c>
      <c r="B660" s="2">
        <v>1.0</v>
      </c>
      <c r="C660" s="7" t="s">
        <v>10</v>
      </c>
      <c r="D660" s="2"/>
      <c r="E660" s="2" t="s">
        <v>559</v>
      </c>
      <c r="F660" s="2">
        <v>1.0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 t="s">
        <v>581</v>
      </c>
      <c r="B661" s="2">
        <v>1.0</v>
      </c>
      <c r="C661" s="2"/>
      <c r="D661" s="2"/>
      <c r="E661" s="2" t="s">
        <v>559</v>
      </c>
      <c r="F661" s="2">
        <v>1.0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 t="s">
        <v>581</v>
      </c>
      <c r="B662" s="2"/>
      <c r="C662" s="2" t="s">
        <v>573</v>
      </c>
      <c r="D662" s="2"/>
      <c r="E662" s="2" t="s">
        <v>559</v>
      </c>
      <c r="F662" s="2">
        <v>1.0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 t="s">
        <v>581</v>
      </c>
      <c r="B663" s="2"/>
      <c r="C663" s="2" t="s">
        <v>92</v>
      </c>
      <c r="D663" s="2"/>
      <c r="E663" s="2" t="s">
        <v>559</v>
      </c>
      <c r="F663" s="2">
        <v>1.0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 t="s">
        <v>581</v>
      </c>
      <c r="B664" s="2"/>
      <c r="C664" s="2" t="s">
        <v>582</v>
      </c>
      <c r="D664" s="2"/>
      <c r="E664" s="2" t="s">
        <v>559</v>
      </c>
      <c r="F664" s="2">
        <v>1.0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 t="s">
        <v>583</v>
      </c>
      <c r="B665" s="2">
        <v>1.0</v>
      </c>
      <c r="C665" s="2" t="s">
        <v>10</v>
      </c>
      <c r="D665" s="2"/>
      <c r="E665" s="2" t="s">
        <v>559</v>
      </c>
      <c r="F665" s="2">
        <v>1.0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 t="s">
        <v>584</v>
      </c>
      <c r="B666" s="2">
        <v>1.0</v>
      </c>
      <c r="C666" s="2"/>
      <c r="D666" s="2"/>
      <c r="E666" s="2" t="s">
        <v>559</v>
      </c>
      <c r="F666" s="2">
        <v>1.0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 t="s">
        <v>412</v>
      </c>
      <c r="B667" s="2">
        <v>1.0</v>
      </c>
      <c r="C667" s="2"/>
      <c r="D667" s="2"/>
      <c r="E667" s="2" t="s">
        <v>559</v>
      </c>
      <c r="F667" s="2">
        <v>1.0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 t="s">
        <v>585</v>
      </c>
      <c r="B668" s="2">
        <v>1.0</v>
      </c>
      <c r="C668" s="2"/>
      <c r="D668" s="2"/>
      <c r="E668" s="2" t="s">
        <v>559</v>
      </c>
      <c r="F668" s="2">
        <v>1.0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 t="s">
        <v>585</v>
      </c>
      <c r="B669" s="2"/>
      <c r="C669" s="14">
        <v>0.0</v>
      </c>
      <c r="D669" s="2"/>
      <c r="E669" s="2" t="s">
        <v>559</v>
      </c>
      <c r="F669" s="2">
        <v>1.0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 t="s">
        <v>586</v>
      </c>
      <c r="B670" s="2">
        <v>1.0</v>
      </c>
      <c r="C670" s="2"/>
      <c r="D670" s="2"/>
      <c r="E670" s="2" t="s">
        <v>559</v>
      </c>
      <c r="F670" s="2">
        <v>1.0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 t="s">
        <v>587</v>
      </c>
      <c r="B671" s="2">
        <v>1.0</v>
      </c>
      <c r="C671" s="2" t="s">
        <v>588</v>
      </c>
      <c r="D671" s="2"/>
      <c r="E671" s="2" t="s">
        <v>559</v>
      </c>
      <c r="F671" s="2">
        <v>1.0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 t="s">
        <v>589</v>
      </c>
      <c r="B672" s="2">
        <v>1.0</v>
      </c>
      <c r="C672" s="2"/>
      <c r="D672" s="2"/>
      <c r="E672" s="2" t="s">
        <v>559</v>
      </c>
      <c r="F672" s="2">
        <v>1.0</v>
      </c>
      <c r="G672" s="2">
        <f>SUM(F636:F672)</f>
        <v>38</v>
      </c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 t="s">
        <v>585</v>
      </c>
      <c r="B673" s="2">
        <v>1.0</v>
      </c>
      <c r="C673" s="2"/>
      <c r="D673" s="2"/>
      <c r="E673" s="2" t="s">
        <v>590</v>
      </c>
      <c r="F673" s="2">
        <v>1.0</v>
      </c>
      <c r="G673" s="2">
        <v>1.0</v>
      </c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 t="s">
        <v>591</v>
      </c>
      <c r="B674" s="2">
        <v>1.0</v>
      </c>
      <c r="C674" s="2"/>
      <c r="D674" s="2"/>
      <c r="E674" s="2" t="s">
        <v>592</v>
      </c>
      <c r="F674" s="2">
        <v>1.0</v>
      </c>
      <c r="G674" s="2">
        <v>1.0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2" t="s">
        <v>593</v>
      </c>
      <c r="B675" s="2">
        <v>1.0</v>
      </c>
      <c r="C675" s="19"/>
      <c r="D675" s="2"/>
      <c r="E675" s="2" t="s">
        <v>594</v>
      </c>
      <c r="F675" s="2">
        <v>1.0</v>
      </c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2" t="s">
        <v>595</v>
      </c>
      <c r="B676" s="2">
        <v>1.0</v>
      </c>
      <c r="C676" s="19"/>
      <c r="D676" s="2" t="s">
        <v>11</v>
      </c>
      <c r="E676" s="2" t="s">
        <v>594</v>
      </c>
      <c r="F676" s="2">
        <v>1.0</v>
      </c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 t="s">
        <v>596</v>
      </c>
      <c r="B677" s="2">
        <v>1.0</v>
      </c>
      <c r="C677" s="2"/>
      <c r="D677" s="2" t="s">
        <v>11</v>
      </c>
      <c r="E677" s="2" t="s">
        <v>594</v>
      </c>
      <c r="F677" s="2">
        <v>1.0</v>
      </c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 t="s">
        <v>597</v>
      </c>
      <c r="B678" s="2">
        <v>1.0</v>
      </c>
      <c r="C678" s="2" t="s">
        <v>563</v>
      </c>
      <c r="D678" s="2"/>
      <c r="E678" s="2" t="s">
        <v>594</v>
      </c>
      <c r="F678" s="2">
        <v>1.0</v>
      </c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 t="s">
        <v>598</v>
      </c>
      <c r="B679" s="2">
        <v>1.0</v>
      </c>
      <c r="C679" s="2"/>
      <c r="D679" s="2" t="s">
        <v>11</v>
      </c>
      <c r="E679" s="2" t="s">
        <v>594</v>
      </c>
      <c r="F679" s="2">
        <v>1.0</v>
      </c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 t="s">
        <v>599</v>
      </c>
      <c r="B680" s="2">
        <v>1.0</v>
      </c>
      <c r="C680" s="2"/>
      <c r="D680" s="2" t="s">
        <v>11</v>
      </c>
      <c r="E680" s="2" t="s">
        <v>594</v>
      </c>
      <c r="F680" s="2">
        <v>1.0</v>
      </c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 t="s">
        <v>599</v>
      </c>
      <c r="B681" s="2"/>
      <c r="C681" s="2" t="s">
        <v>600</v>
      </c>
      <c r="D681" s="2" t="s">
        <v>11</v>
      </c>
      <c r="E681" s="2" t="s">
        <v>594</v>
      </c>
      <c r="F681" s="2">
        <v>1.0</v>
      </c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 t="s">
        <v>599</v>
      </c>
      <c r="B682" s="2"/>
      <c r="C682" s="2" t="s">
        <v>601</v>
      </c>
      <c r="D682" s="2" t="s">
        <v>11</v>
      </c>
      <c r="E682" s="2" t="s">
        <v>594</v>
      </c>
      <c r="F682" s="2">
        <v>1.0</v>
      </c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 t="s">
        <v>602</v>
      </c>
      <c r="B683" s="2">
        <v>1.0</v>
      </c>
      <c r="C683" s="7">
        <v>0.085</v>
      </c>
      <c r="D683" s="2" t="s">
        <v>11</v>
      </c>
      <c r="E683" s="2" t="s">
        <v>594</v>
      </c>
      <c r="F683" s="2">
        <v>1.0</v>
      </c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 t="s">
        <v>602</v>
      </c>
      <c r="B684" s="2"/>
      <c r="C684" s="2" t="s">
        <v>603</v>
      </c>
      <c r="D684" s="2" t="s">
        <v>11</v>
      </c>
      <c r="E684" s="2" t="s">
        <v>594</v>
      </c>
      <c r="F684" s="2">
        <v>1.0</v>
      </c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 t="s">
        <v>604</v>
      </c>
      <c r="B685" s="2">
        <v>1.0</v>
      </c>
      <c r="C685" s="2"/>
      <c r="D685" s="2"/>
      <c r="E685" s="2" t="s">
        <v>594</v>
      </c>
      <c r="F685" s="2">
        <v>1.0</v>
      </c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 t="s">
        <v>605</v>
      </c>
      <c r="B686" s="2">
        <v>1.0</v>
      </c>
      <c r="C686" s="2"/>
      <c r="D686" s="2" t="s">
        <v>11</v>
      </c>
      <c r="E686" s="2" t="s">
        <v>594</v>
      </c>
      <c r="F686" s="2">
        <v>1.0</v>
      </c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 t="s">
        <v>606</v>
      </c>
      <c r="B687" s="2">
        <v>1.0</v>
      </c>
      <c r="C687" s="2"/>
      <c r="D687" s="2" t="s">
        <v>11</v>
      </c>
      <c r="E687" s="2" t="s">
        <v>594</v>
      </c>
      <c r="F687" s="2">
        <v>1.0</v>
      </c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 t="s">
        <v>607</v>
      </c>
      <c r="B688" s="2">
        <v>1.0</v>
      </c>
      <c r="C688" s="2" t="s">
        <v>563</v>
      </c>
      <c r="D688" s="2"/>
      <c r="E688" s="2" t="s">
        <v>594</v>
      </c>
      <c r="F688" s="2">
        <v>1.0</v>
      </c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 t="s">
        <v>608</v>
      </c>
      <c r="B689" s="2">
        <v>1.0</v>
      </c>
      <c r="C689" s="2" t="s">
        <v>609</v>
      </c>
      <c r="D689" s="2"/>
      <c r="E689" s="2" t="s">
        <v>594</v>
      </c>
      <c r="F689" s="2">
        <v>1.0</v>
      </c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 t="s">
        <v>610</v>
      </c>
      <c r="B690" s="2">
        <v>1.0</v>
      </c>
      <c r="C690" s="1"/>
      <c r="D690" s="1"/>
      <c r="E690" s="2" t="s">
        <v>594</v>
      </c>
      <c r="F690" s="2">
        <v>1.0</v>
      </c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 t="s">
        <v>610</v>
      </c>
      <c r="B691" s="2"/>
      <c r="C691" s="2"/>
      <c r="D691" s="2" t="s">
        <v>11</v>
      </c>
      <c r="E691" s="2" t="s">
        <v>594</v>
      </c>
      <c r="F691" s="2">
        <v>1.0</v>
      </c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 t="s">
        <v>610</v>
      </c>
      <c r="B692" s="2"/>
      <c r="C692" s="2" t="s">
        <v>611</v>
      </c>
      <c r="D692" s="2" t="s">
        <v>11</v>
      </c>
      <c r="E692" s="2" t="s">
        <v>594</v>
      </c>
      <c r="F692" s="2">
        <v>1.0</v>
      </c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 t="s">
        <v>610</v>
      </c>
      <c r="B693" s="2"/>
      <c r="C693" s="2">
        <v>1664.0</v>
      </c>
      <c r="D693" s="2" t="s">
        <v>11</v>
      </c>
      <c r="E693" s="2" t="s">
        <v>594</v>
      </c>
      <c r="F693" s="2">
        <v>2.0</v>
      </c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 t="s">
        <v>610</v>
      </c>
      <c r="B694" s="2"/>
      <c r="C694" s="2" t="s">
        <v>612</v>
      </c>
      <c r="D694" s="2" t="s">
        <v>11</v>
      </c>
      <c r="E694" s="2" t="s">
        <v>594</v>
      </c>
      <c r="F694" s="2">
        <v>2.0</v>
      </c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 t="s">
        <v>613</v>
      </c>
      <c r="B695" s="2">
        <v>1.0</v>
      </c>
      <c r="C695" s="2"/>
      <c r="D695" s="2" t="s">
        <v>11</v>
      </c>
      <c r="E695" s="2" t="s">
        <v>594</v>
      </c>
      <c r="F695" s="2">
        <v>1.0</v>
      </c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 t="s">
        <v>10</v>
      </c>
      <c r="B696" s="2">
        <v>1.0</v>
      </c>
      <c r="C696" s="2"/>
      <c r="D696" s="2" t="s">
        <v>11</v>
      </c>
      <c r="E696" s="2" t="s">
        <v>594</v>
      </c>
      <c r="F696" s="2">
        <v>1.0</v>
      </c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 t="s">
        <v>614</v>
      </c>
      <c r="B697" s="2">
        <v>1.0</v>
      </c>
      <c r="C697" s="2" t="s">
        <v>615</v>
      </c>
      <c r="D697" s="2" t="s">
        <v>11</v>
      </c>
      <c r="E697" s="2" t="s">
        <v>594</v>
      </c>
      <c r="F697" s="2">
        <v>1.0</v>
      </c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 t="s">
        <v>614</v>
      </c>
      <c r="B698" s="2"/>
      <c r="C698" s="2" t="s">
        <v>115</v>
      </c>
      <c r="D698" s="2" t="s">
        <v>11</v>
      </c>
      <c r="E698" s="2" t="s">
        <v>594</v>
      </c>
      <c r="F698" s="2">
        <v>1.0</v>
      </c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 t="s">
        <v>616</v>
      </c>
      <c r="B699" s="2">
        <v>1.0</v>
      </c>
      <c r="C699" s="2"/>
      <c r="D699" s="2"/>
      <c r="E699" s="2" t="s">
        <v>594</v>
      </c>
      <c r="F699" s="2">
        <v>1.0</v>
      </c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 t="s">
        <v>617</v>
      </c>
      <c r="B700" s="2">
        <v>1.0</v>
      </c>
      <c r="C700" s="2" t="s">
        <v>573</v>
      </c>
      <c r="D700" s="2"/>
      <c r="E700" s="2" t="s">
        <v>594</v>
      </c>
      <c r="F700" s="2">
        <v>1.0</v>
      </c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 t="s">
        <v>617</v>
      </c>
      <c r="B701" s="2"/>
      <c r="C701" s="2" t="s">
        <v>138</v>
      </c>
      <c r="D701" s="2"/>
      <c r="E701" s="2" t="s">
        <v>594</v>
      </c>
      <c r="F701" s="2">
        <v>1.0</v>
      </c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 t="s">
        <v>617</v>
      </c>
      <c r="B702" s="2"/>
      <c r="C702" s="2" t="s">
        <v>563</v>
      </c>
      <c r="D702" s="2"/>
      <c r="E702" s="2" t="s">
        <v>594</v>
      </c>
      <c r="F702" s="2">
        <v>1.0</v>
      </c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 t="s">
        <v>617</v>
      </c>
      <c r="B703" s="2"/>
      <c r="C703" s="2" t="s">
        <v>618</v>
      </c>
      <c r="D703" s="2"/>
      <c r="E703" s="2" t="s">
        <v>594</v>
      </c>
      <c r="F703" s="2">
        <v>1.0</v>
      </c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 t="s">
        <v>619</v>
      </c>
      <c r="B704" s="2">
        <v>1.0</v>
      </c>
      <c r="C704" s="2"/>
      <c r="D704" s="2" t="s">
        <v>11</v>
      </c>
      <c r="E704" s="2" t="s">
        <v>594</v>
      </c>
      <c r="F704" s="2">
        <v>1.0</v>
      </c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 t="s">
        <v>620</v>
      </c>
      <c r="B705" s="2">
        <v>1.0</v>
      </c>
      <c r="C705" s="2" t="s">
        <v>10</v>
      </c>
      <c r="D705" s="2" t="s">
        <v>11</v>
      </c>
      <c r="E705" s="2" t="s">
        <v>594</v>
      </c>
      <c r="F705" s="2">
        <v>1.0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 t="s">
        <v>621</v>
      </c>
      <c r="B706" s="2">
        <v>1.0</v>
      </c>
      <c r="C706" s="2"/>
      <c r="D706" s="2"/>
      <c r="E706" s="2" t="s">
        <v>594</v>
      </c>
      <c r="F706" s="2">
        <v>1.0</v>
      </c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 t="s">
        <v>622</v>
      </c>
      <c r="B707" s="2">
        <v>1.0</v>
      </c>
      <c r="C707" s="2" t="s">
        <v>573</v>
      </c>
      <c r="D707" s="2"/>
      <c r="E707" s="2" t="s">
        <v>594</v>
      </c>
      <c r="F707" s="2">
        <v>1.0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 t="s">
        <v>622</v>
      </c>
      <c r="B708" s="2"/>
      <c r="C708" s="2" t="s">
        <v>623</v>
      </c>
      <c r="D708" s="2"/>
      <c r="E708" s="2" t="s">
        <v>594</v>
      </c>
      <c r="F708" s="2">
        <v>1.0</v>
      </c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 t="s">
        <v>624</v>
      </c>
      <c r="B709" s="2">
        <v>1.0</v>
      </c>
      <c r="C709" s="2"/>
      <c r="D709" s="2"/>
      <c r="E709" s="2" t="s">
        <v>594</v>
      </c>
      <c r="F709" s="2">
        <v>1.0</v>
      </c>
      <c r="G709" s="2">
        <f>SUM(F675:F709)</f>
        <v>37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20" t="s">
        <v>625</v>
      </c>
      <c r="B710" s="9">
        <v>1.0</v>
      </c>
      <c r="C710" s="2"/>
      <c r="D710" s="2"/>
      <c r="E710" s="11" t="s">
        <v>626</v>
      </c>
      <c r="F710" s="9">
        <v>1.0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20" t="s">
        <v>627</v>
      </c>
      <c r="B711" s="9">
        <v>1.0</v>
      </c>
      <c r="C711" s="2"/>
      <c r="D711" s="2"/>
      <c r="E711" s="11" t="s">
        <v>626</v>
      </c>
      <c r="F711" s="9">
        <v>1.0</v>
      </c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8" t="s">
        <v>628</v>
      </c>
      <c r="B712" s="9">
        <v>1.0</v>
      </c>
      <c r="C712" s="2"/>
      <c r="D712" s="2"/>
      <c r="E712" s="11" t="s">
        <v>626</v>
      </c>
      <c r="F712" s="9">
        <v>1.0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8" t="s">
        <v>629</v>
      </c>
      <c r="B713" s="9">
        <v>1.0</v>
      </c>
      <c r="C713" s="2"/>
      <c r="D713" s="2"/>
      <c r="E713" s="11" t="s">
        <v>626</v>
      </c>
      <c r="F713" s="9">
        <v>1.0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8" t="s">
        <v>630</v>
      </c>
      <c r="B714" s="9">
        <v>1.0</v>
      </c>
      <c r="C714" s="2"/>
      <c r="D714" s="2"/>
      <c r="E714" s="11" t="s">
        <v>626</v>
      </c>
      <c r="F714" s="9">
        <v>1.0</v>
      </c>
      <c r="G714" s="2">
        <f>SUM(F710:F714)</f>
        <v>5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 t="s">
        <v>7</v>
      </c>
      <c r="B715" s="2">
        <v>1.0</v>
      </c>
      <c r="C715" s="2"/>
      <c r="D715" s="2"/>
      <c r="E715" s="2" t="s">
        <v>631</v>
      </c>
      <c r="F715" s="2">
        <v>1.0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 t="s">
        <v>632</v>
      </c>
      <c r="B716" s="2">
        <v>1.0</v>
      </c>
      <c r="C716" s="2"/>
      <c r="D716" s="2" t="s">
        <v>11</v>
      </c>
      <c r="E716" s="2" t="s">
        <v>631</v>
      </c>
      <c r="F716" s="2">
        <v>1.0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 t="s">
        <v>632</v>
      </c>
      <c r="B717" s="2"/>
      <c r="C717" s="2" t="s">
        <v>633</v>
      </c>
      <c r="D717" s="2" t="s">
        <v>11</v>
      </c>
      <c r="E717" s="2" t="s">
        <v>631</v>
      </c>
      <c r="F717" s="2">
        <v>1.0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 t="s">
        <v>632</v>
      </c>
      <c r="B718" s="2"/>
      <c r="C718" s="2" t="s">
        <v>634</v>
      </c>
      <c r="D718" s="2" t="s">
        <v>11</v>
      </c>
      <c r="E718" s="2" t="s">
        <v>631</v>
      </c>
      <c r="F718" s="2">
        <v>1.0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 t="s">
        <v>632</v>
      </c>
      <c r="B719" s="2"/>
      <c r="C719" s="2" t="s">
        <v>282</v>
      </c>
      <c r="D719" s="2" t="s">
        <v>11</v>
      </c>
      <c r="E719" s="2" t="s">
        <v>631</v>
      </c>
      <c r="F719" s="2">
        <v>1.0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 t="s">
        <v>632</v>
      </c>
      <c r="B720" s="2"/>
      <c r="C720" s="2" t="s">
        <v>48</v>
      </c>
      <c r="D720" s="2" t="s">
        <v>11</v>
      </c>
      <c r="E720" s="2" t="s">
        <v>631</v>
      </c>
      <c r="F720" s="2">
        <v>1.0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 t="s">
        <v>632</v>
      </c>
      <c r="B721" s="2"/>
      <c r="C721" s="2" t="s">
        <v>635</v>
      </c>
      <c r="D721" s="2" t="s">
        <v>11</v>
      </c>
      <c r="E721" s="2" t="s">
        <v>631</v>
      </c>
      <c r="F721" s="2">
        <v>1.0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 t="s">
        <v>632</v>
      </c>
      <c r="B722" s="2"/>
      <c r="C722" s="2" t="s">
        <v>635</v>
      </c>
      <c r="D722" s="2" t="s">
        <v>636</v>
      </c>
      <c r="E722" s="2" t="s">
        <v>631</v>
      </c>
      <c r="F722" s="2">
        <v>1.0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 t="s">
        <v>632</v>
      </c>
      <c r="B723" s="2"/>
      <c r="C723" s="2" t="s">
        <v>115</v>
      </c>
      <c r="D723" s="2" t="s">
        <v>11</v>
      </c>
      <c r="E723" s="2" t="s">
        <v>631</v>
      </c>
      <c r="F723" s="2">
        <v>1.0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 t="s">
        <v>632</v>
      </c>
      <c r="B724" s="2"/>
      <c r="C724" s="2" t="s">
        <v>637</v>
      </c>
      <c r="D724" s="2" t="s">
        <v>11</v>
      </c>
      <c r="E724" s="2" t="s">
        <v>631</v>
      </c>
      <c r="F724" s="2">
        <v>1.0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 t="s">
        <v>638</v>
      </c>
      <c r="B725" s="2">
        <v>1.0</v>
      </c>
      <c r="C725" s="2"/>
      <c r="D725" s="2"/>
      <c r="E725" s="2" t="s">
        <v>631</v>
      </c>
      <c r="F725" s="2">
        <v>3.0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 t="s">
        <v>638</v>
      </c>
      <c r="B726" s="2"/>
      <c r="C726" s="2" t="s">
        <v>573</v>
      </c>
      <c r="D726" s="2"/>
      <c r="E726" s="2" t="s">
        <v>631</v>
      </c>
      <c r="F726" s="2">
        <v>1.0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 t="s">
        <v>638</v>
      </c>
      <c r="B727" s="2"/>
      <c r="C727" s="2" t="s">
        <v>244</v>
      </c>
      <c r="D727" s="2"/>
      <c r="E727" s="2" t="s">
        <v>631</v>
      </c>
      <c r="F727" s="2">
        <v>1.0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 t="s">
        <v>638</v>
      </c>
      <c r="B728" s="2"/>
      <c r="C728" s="2" t="s">
        <v>639</v>
      </c>
      <c r="D728" s="2"/>
      <c r="E728" s="2" t="s">
        <v>631</v>
      </c>
      <c r="F728" s="2">
        <v>1.0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 t="s">
        <v>638</v>
      </c>
      <c r="B729" s="2"/>
      <c r="C729" s="2"/>
      <c r="D729" s="2" t="s">
        <v>11</v>
      </c>
      <c r="E729" s="2" t="s">
        <v>631</v>
      </c>
      <c r="F729" s="2">
        <v>2.0</v>
      </c>
      <c r="G729" s="1" t="s">
        <v>80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 t="s">
        <v>640</v>
      </c>
      <c r="B730" s="2">
        <v>1.0</v>
      </c>
      <c r="C730" s="2" t="s">
        <v>641</v>
      </c>
      <c r="D730" s="2"/>
      <c r="E730" s="2" t="s">
        <v>631</v>
      </c>
      <c r="F730" s="2">
        <v>2.0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 t="s">
        <v>640</v>
      </c>
      <c r="B731" s="2"/>
      <c r="C731" s="2" t="s">
        <v>642</v>
      </c>
      <c r="D731" s="2" t="s">
        <v>11</v>
      </c>
      <c r="E731" s="2" t="s">
        <v>631</v>
      </c>
      <c r="F731" s="2">
        <v>1.0</v>
      </c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 t="s">
        <v>640</v>
      </c>
      <c r="B732" s="2"/>
      <c r="C732" s="2" t="s">
        <v>643</v>
      </c>
      <c r="D732" s="2" t="s">
        <v>11</v>
      </c>
      <c r="E732" s="2" t="s">
        <v>631</v>
      </c>
      <c r="F732" s="2">
        <v>1.0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 t="s">
        <v>640</v>
      </c>
      <c r="B733" s="2"/>
      <c r="C733" s="2" t="s">
        <v>644</v>
      </c>
      <c r="D733" s="2" t="s">
        <v>11</v>
      </c>
      <c r="E733" s="2" t="s">
        <v>631</v>
      </c>
      <c r="F733" s="2">
        <v>1.0</v>
      </c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 t="s">
        <v>640</v>
      </c>
      <c r="B734" s="2"/>
      <c r="C734" s="2" t="s">
        <v>645</v>
      </c>
      <c r="D734" s="2"/>
      <c r="E734" s="2" t="s">
        <v>631</v>
      </c>
      <c r="F734" s="2">
        <v>1.0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 t="s">
        <v>646</v>
      </c>
      <c r="B735" s="2">
        <v>1.0</v>
      </c>
      <c r="C735" s="2"/>
      <c r="D735" s="2"/>
      <c r="E735" s="2" t="s">
        <v>631</v>
      </c>
      <c r="F735" s="2">
        <v>1.0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 t="s">
        <v>647</v>
      </c>
      <c r="B736" s="2">
        <v>1.0</v>
      </c>
      <c r="C736" s="2"/>
      <c r="D736" s="2" t="s">
        <v>11</v>
      </c>
      <c r="E736" s="2" t="s">
        <v>631</v>
      </c>
      <c r="F736" s="2">
        <v>1.0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 t="s">
        <v>321</v>
      </c>
      <c r="B737" s="2">
        <v>1.0</v>
      </c>
      <c r="C737" s="2"/>
      <c r="D737" s="2"/>
      <c r="E737" s="2" t="s">
        <v>631</v>
      </c>
      <c r="F737" s="2">
        <v>2.0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 t="s">
        <v>321</v>
      </c>
      <c r="B738" s="2"/>
      <c r="C738" s="2" t="s">
        <v>648</v>
      </c>
      <c r="D738" s="2"/>
      <c r="E738" s="2" t="s">
        <v>631</v>
      </c>
      <c r="F738" s="2">
        <v>1.0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 t="s">
        <v>321</v>
      </c>
      <c r="B739" s="2"/>
      <c r="C739" s="2"/>
      <c r="D739" s="2" t="s">
        <v>11</v>
      </c>
      <c r="E739" s="2" t="s">
        <v>631</v>
      </c>
      <c r="F739" s="2">
        <v>1.0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 t="s">
        <v>321</v>
      </c>
      <c r="B740" s="2"/>
      <c r="C740" s="2" t="s">
        <v>25</v>
      </c>
      <c r="D740" s="2" t="s">
        <v>11</v>
      </c>
      <c r="E740" s="2" t="s">
        <v>631</v>
      </c>
      <c r="F740" s="2">
        <v>2.0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 t="s">
        <v>649</v>
      </c>
      <c r="B741" s="2">
        <v>1.0</v>
      </c>
      <c r="C741" s="2"/>
      <c r="D741" s="2" t="s">
        <v>11</v>
      </c>
      <c r="E741" s="2" t="s">
        <v>631</v>
      </c>
      <c r="F741" s="2">
        <v>1.0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 t="s">
        <v>650</v>
      </c>
      <c r="B742" s="2">
        <v>1.0</v>
      </c>
      <c r="C742" s="2"/>
      <c r="D742" s="2"/>
      <c r="E742" s="2" t="s">
        <v>631</v>
      </c>
      <c r="F742" s="2">
        <v>1.0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 t="s">
        <v>651</v>
      </c>
      <c r="B743" s="2">
        <v>1.0</v>
      </c>
      <c r="C743" s="2"/>
      <c r="D743" s="2"/>
      <c r="E743" s="2" t="s">
        <v>631</v>
      </c>
      <c r="F743" s="2">
        <v>2.0</v>
      </c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 t="s">
        <v>651</v>
      </c>
      <c r="B744" s="2"/>
      <c r="C744" s="2"/>
      <c r="D744" s="2" t="s">
        <v>11</v>
      </c>
      <c r="E744" s="2" t="s">
        <v>631</v>
      </c>
      <c r="F744" s="2">
        <v>1.0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 t="s">
        <v>652</v>
      </c>
      <c r="B745" s="2">
        <v>1.0</v>
      </c>
      <c r="C745" s="2"/>
      <c r="D745" s="2"/>
      <c r="E745" s="2" t="s">
        <v>631</v>
      </c>
      <c r="F745" s="2">
        <v>1.0</v>
      </c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 t="s">
        <v>652</v>
      </c>
      <c r="B746" s="2"/>
      <c r="C746" s="2" t="s">
        <v>31</v>
      </c>
      <c r="D746" s="2"/>
      <c r="E746" s="2" t="s">
        <v>631</v>
      </c>
      <c r="F746" s="2">
        <v>1.0</v>
      </c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 t="s">
        <v>653</v>
      </c>
      <c r="B747" s="2">
        <v>1.0</v>
      </c>
      <c r="C747" s="2"/>
      <c r="D747" s="2"/>
      <c r="E747" s="2" t="s">
        <v>631</v>
      </c>
      <c r="F747" s="2">
        <v>1.0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 t="s">
        <v>654</v>
      </c>
      <c r="B748" s="2">
        <v>1.0</v>
      </c>
      <c r="C748" s="2"/>
      <c r="D748" s="2" t="s">
        <v>11</v>
      </c>
      <c r="E748" s="2" t="s">
        <v>631</v>
      </c>
      <c r="F748" s="2">
        <v>1.0</v>
      </c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 t="s">
        <v>655</v>
      </c>
      <c r="B749" s="2">
        <v>1.0</v>
      </c>
      <c r="C749" s="2"/>
      <c r="D749" s="2" t="s">
        <v>11</v>
      </c>
      <c r="E749" s="2" t="s">
        <v>631</v>
      </c>
      <c r="F749" s="2">
        <v>1.0</v>
      </c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 t="s">
        <v>656</v>
      </c>
      <c r="B750" s="2">
        <v>1.0</v>
      </c>
      <c r="C750" s="2"/>
      <c r="D750" s="2"/>
      <c r="E750" s="2" t="s">
        <v>631</v>
      </c>
      <c r="F750" s="2">
        <v>1.0</v>
      </c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 t="s">
        <v>656</v>
      </c>
      <c r="B751" s="2"/>
      <c r="C751" s="2"/>
      <c r="D751" s="2" t="s">
        <v>11</v>
      </c>
      <c r="E751" s="2" t="s">
        <v>631</v>
      </c>
      <c r="F751" s="2">
        <v>1.0</v>
      </c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 t="s">
        <v>656</v>
      </c>
      <c r="B752" s="2"/>
      <c r="C752" s="2" t="s">
        <v>609</v>
      </c>
      <c r="D752" s="2" t="s">
        <v>11</v>
      </c>
      <c r="E752" s="2" t="s">
        <v>631</v>
      </c>
      <c r="F752" s="2">
        <v>1.0</v>
      </c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 t="s">
        <v>656</v>
      </c>
      <c r="B753" s="2"/>
      <c r="C753" s="2" t="s">
        <v>92</v>
      </c>
      <c r="D753" s="2" t="s">
        <v>11</v>
      </c>
      <c r="E753" s="2" t="s">
        <v>631</v>
      </c>
      <c r="F753" s="2">
        <v>1.0</v>
      </c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 t="s">
        <v>657</v>
      </c>
      <c r="B754" s="2">
        <v>1.0</v>
      </c>
      <c r="C754" s="2"/>
      <c r="D754" s="2"/>
      <c r="E754" s="2" t="s">
        <v>631</v>
      </c>
      <c r="F754" s="2">
        <v>8.0</v>
      </c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 t="s">
        <v>657</v>
      </c>
      <c r="B755" s="2"/>
      <c r="C755" s="2"/>
      <c r="D755" s="2" t="s">
        <v>11</v>
      </c>
      <c r="E755" s="2" t="s">
        <v>631</v>
      </c>
      <c r="F755" s="2">
        <v>2.0</v>
      </c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 t="s">
        <v>658</v>
      </c>
      <c r="B756" s="2">
        <v>1.0</v>
      </c>
      <c r="C756" s="2"/>
      <c r="D756" s="2"/>
      <c r="E756" s="2" t="s">
        <v>631</v>
      </c>
      <c r="F756" s="2">
        <v>1.0</v>
      </c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 t="s">
        <v>659</v>
      </c>
      <c r="B757" s="2">
        <v>1.0</v>
      </c>
      <c r="C757" s="2"/>
      <c r="D757" s="2" t="s">
        <v>11</v>
      </c>
      <c r="E757" s="2" t="s">
        <v>631</v>
      </c>
      <c r="F757" s="2">
        <v>1.0</v>
      </c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 t="s">
        <v>660</v>
      </c>
      <c r="B758" s="2">
        <v>1.0</v>
      </c>
      <c r="C758" s="2"/>
      <c r="D758" s="2"/>
      <c r="E758" s="2" t="s">
        <v>631</v>
      </c>
      <c r="F758" s="2">
        <v>1.0</v>
      </c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 t="s">
        <v>661</v>
      </c>
      <c r="B759" s="2">
        <v>1.0</v>
      </c>
      <c r="C759" s="2"/>
      <c r="D759" s="2"/>
      <c r="E759" s="2" t="s">
        <v>631</v>
      </c>
      <c r="F759" s="2">
        <v>1.0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 t="s">
        <v>661</v>
      </c>
      <c r="B760" s="2"/>
      <c r="C760" s="2" t="s">
        <v>14</v>
      </c>
      <c r="D760" s="2" t="s">
        <v>11</v>
      </c>
      <c r="E760" s="2" t="s">
        <v>631</v>
      </c>
      <c r="F760" s="2">
        <v>1.0</v>
      </c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 t="s">
        <v>661</v>
      </c>
      <c r="B761" s="2"/>
      <c r="C761" s="2" t="s">
        <v>662</v>
      </c>
      <c r="D761" s="2" t="s">
        <v>11</v>
      </c>
      <c r="E761" s="2" t="s">
        <v>631</v>
      </c>
      <c r="F761" s="2">
        <v>1.0</v>
      </c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 t="s">
        <v>663</v>
      </c>
      <c r="B762" s="2">
        <v>1.0</v>
      </c>
      <c r="C762" s="2"/>
      <c r="D762" s="2"/>
      <c r="E762" s="2" t="s">
        <v>631</v>
      </c>
      <c r="F762" s="2">
        <v>1.0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 t="s">
        <v>664</v>
      </c>
      <c r="B763" s="2">
        <v>1.0</v>
      </c>
      <c r="C763" s="2"/>
      <c r="D763" s="2"/>
      <c r="E763" s="2" t="s">
        <v>631</v>
      </c>
      <c r="F763" s="2">
        <v>2.0</v>
      </c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 t="s">
        <v>664</v>
      </c>
      <c r="B764" s="2"/>
      <c r="C764" s="2" t="s">
        <v>95</v>
      </c>
      <c r="D764" s="2" t="s">
        <v>11</v>
      </c>
      <c r="E764" s="2" t="s">
        <v>631</v>
      </c>
      <c r="F764" s="2">
        <v>1.0</v>
      </c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 t="s">
        <v>664</v>
      </c>
      <c r="B765" s="2"/>
      <c r="C765" s="2" t="s">
        <v>488</v>
      </c>
      <c r="D765" s="2" t="s">
        <v>11</v>
      </c>
      <c r="E765" s="2" t="s">
        <v>631</v>
      </c>
      <c r="F765" s="2">
        <v>1.0</v>
      </c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 t="s">
        <v>664</v>
      </c>
      <c r="B766" s="2"/>
      <c r="C766" s="2" t="s">
        <v>665</v>
      </c>
      <c r="D766" s="2" t="s">
        <v>11</v>
      </c>
      <c r="E766" s="2" t="s">
        <v>631</v>
      </c>
      <c r="F766" s="2">
        <v>1.0</v>
      </c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 t="s">
        <v>664</v>
      </c>
      <c r="B767" s="2"/>
      <c r="C767" s="2" t="s">
        <v>666</v>
      </c>
      <c r="D767" s="2" t="s">
        <v>11</v>
      </c>
      <c r="E767" s="2" t="s">
        <v>631</v>
      </c>
      <c r="F767" s="2">
        <v>1.0</v>
      </c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 t="s">
        <v>664</v>
      </c>
      <c r="B768" s="2"/>
      <c r="C768" s="2" t="s">
        <v>667</v>
      </c>
      <c r="D768" s="2" t="s">
        <v>11</v>
      </c>
      <c r="E768" s="2" t="s">
        <v>631</v>
      </c>
      <c r="F768" s="2">
        <v>1.0</v>
      </c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 t="s">
        <v>664</v>
      </c>
      <c r="B769" s="2"/>
      <c r="C769" s="2" t="s">
        <v>25</v>
      </c>
      <c r="D769" s="2" t="s">
        <v>11</v>
      </c>
      <c r="E769" s="2" t="s">
        <v>631</v>
      </c>
      <c r="F769" s="2">
        <v>1.0</v>
      </c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 t="s">
        <v>668</v>
      </c>
      <c r="B770" s="2">
        <v>1.0</v>
      </c>
      <c r="C770" s="2"/>
      <c r="D770" s="2" t="s">
        <v>11</v>
      </c>
      <c r="E770" s="2" t="s">
        <v>631</v>
      </c>
      <c r="F770" s="2">
        <v>1.0</v>
      </c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 t="s">
        <v>669</v>
      </c>
      <c r="B771" s="2">
        <v>1.0</v>
      </c>
      <c r="C771" s="2"/>
      <c r="D771" s="2"/>
      <c r="E771" s="2" t="s">
        <v>631</v>
      </c>
      <c r="F771" s="2">
        <v>1.0</v>
      </c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 t="s">
        <v>412</v>
      </c>
      <c r="B772" s="2">
        <v>1.0</v>
      </c>
      <c r="C772" s="2"/>
      <c r="D772" s="2"/>
      <c r="E772" s="2" t="s">
        <v>631</v>
      </c>
      <c r="F772" s="2">
        <v>1.0</v>
      </c>
      <c r="G772" s="2">
        <f>SUM(F715:F772)</f>
        <v>74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8" t="s">
        <v>670</v>
      </c>
      <c r="B773" s="9">
        <v>1.0</v>
      </c>
      <c r="C773" s="2"/>
      <c r="D773" s="9" t="s">
        <v>11</v>
      </c>
      <c r="E773" s="9" t="s">
        <v>671</v>
      </c>
      <c r="F773" s="9">
        <v>1.0</v>
      </c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8" t="s">
        <v>672</v>
      </c>
      <c r="B774" s="9">
        <v>1.0</v>
      </c>
      <c r="C774" s="2"/>
      <c r="D774" s="9" t="s">
        <v>11</v>
      </c>
      <c r="E774" s="9" t="s">
        <v>671</v>
      </c>
      <c r="F774" s="9">
        <v>1.0</v>
      </c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 t="s">
        <v>673</v>
      </c>
      <c r="B775" s="2">
        <v>1.0</v>
      </c>
      <c r="C775" s="2"/>
      <c r="D775" s="2" t="s">
        <v>11</v>
      </c>
      <c r="E775" s="2" t="s">
        <v>671</v>
      </c>
      <c r="F775" s="2">
        <v>1.0</v>
      </c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 t="s">
        <v>674</v>
      </c>
      <c r="B776" s="2">
        <v>1.0</v>
      </c>
      <c r="C776" s="2"/>
      <c r="D776" s="2" t="s">
        <v>11</v>
      </c>
      <c r="E776" s="2" t="s">
        <v>671</v>
      </c>
      <c r="F776" s="2">
        <v>1.0</v>
      </c>
      <c r="G776" s="2">
        <f>SUM(F773:F776)</f>
        <v>4</v>
      </c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3" t="s">
        <v>675</v>
      </c>
      <c r="B777" s="2">
        <v>1.0</v>
      </c>
      <c r="C777" s="2"/>
      <c r="D777" s="2" t="s">
        <v>11</v>
      </c>
      <c r="E777" s="2" t="s">
        <v>676</v>
      </c>
      <c r="F777" s="2">
        <v>1.0</v>
      </c>
      <c r="G777" s="2">
        <v>1.0</v>
      </c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 t="s">
        <v>677</v>
      </c>
      <c r="B778" s="2">
        <v>1.0</v>
      </c>
      <c r="C778" s="2" t="s">
        <v>386</v>
      </c>
      <c r="D778" s="2" t="s">
        <v>11</v>
      </c>
      <c r="E778" s="2" t="s">
        <v>678</v>
      </c>
      <c r="F778" s="2">
        <v>1.0</v>
      </c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 t="s">
        <v>679</v>
      </c>
      <c r="B779" s="2">
        <v>1.0</v>
      </c>
      <c r="C779" s="2"/>
      <c r="D779" s="2" t="s">
        <v>11</v>
      </c>
      <c r="E779" s="2" t="s">
        <v>678</v>
      </c>
      <c r="F779" s="2">
        <v>2.0</v>
      </c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 t="s">
        <v>680</v>
      </c>
      <c r="B780" s="2">
        <v>1.0</v>
      </c>
      <c r="C780" s="2"/>
      <c r="D780" s="2" t="s">
        <v>11</v>
      </c>
      <c r="E780" s="2" t="s">
        <v>678</v>
      </c>
      <c r="F780" s="2">
        <v>1.0</v>
      </c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 t="s">
        <v>681</v>
      </c>
      <c r="B781" s="2">
        <v>1.0</v>
      </c>
      <c r="C781" s="2" t="s">
        <v>682</v>
      </c>
      <c r="D781" s="2" t="s">
        <v>11</v>
      </c>
      <c r="E781" s="2" t="s">
        <v>678</v>
      </c>
      <c r="F781" s="2">
        <v>1.0</v>
      </c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 t="s">
        <v>683</v>
      </c>
      <c r="B782" s="2">
        <v>1.0</v>
      </c>
      <c r="C782" s="2"/>
      <c r="D782" s="2"/>
      <c r="E782" s="2" t="s">
        <v>678</v>
      </c>
      <c r="F782" s="2">
        <v>1.0</v>
      </c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 t="s">
        <v>684</v>
      </c>
      <c r="B783" s="2">
        <v>1.0</v>
      </c>
      <c r="C783" s="2" t="s">
        <v>685</v>
      </c>
      <c r="D783" s="2" t="s">
        <v>11</v>
      </c>
      <c r="E783" s="2" t="s">
        <v>678</v>
      </c>
      <c r="F783" s="2">
        <v>1.0</v>
      </c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 t="s">
        <v>686</v>
      </c>
      <c r="B784" s="2">
        <v>1.0</v>
      </c>
      <c r="C784" s="2"/>
      <c r="D784" s="2" t="s">
        <v>11</v>
      </c>
      <c r="E784" s="2" t="s">
        <v>678</v>
      </c>
      <c r="F784" s="2">
        <v>1.0</v>
      </c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 t="s">
        <v>687</v>
      </c>
      <c r="B785" s="2">
        <v>1.0</v>
      </c>
      <c r="C785" s="2"/>
      <c r="D785" s="2" t="s">
        <v>11</v>
      </c>
      <c r="E785" s="2" t="s">
        <v>678</v>
      </c>
      <c r="F785" s="2">
        <v>1.0</v>
      </c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 t="s">
        <v>688</v>
      </c>
      <c r="B786" s="2">
        <v>1.0</v>
      </c>
      <c r="C786" s="2" t="s">
        <v>156</v>
      </c>
      <c r="D786" s="2" t="s">
        <v>11</v>
      </c>
      <c r="E786" s="2" t="s">
        <v>678</v>
      </c>
      <c r="F786" s="2">
        <v>1.0</v>
      </c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 t="s">
        <v>688</v>
      </c>
      <c r="B787" s="2"/>
      <c r="C787" s="2" t="s">
        <v>689</v>
      </c>
      <c r="D787" s="2" t="s">
        <v>11</v>
      </c>
      <c r="E787" s="2" t="s">
        <v>678</v>
      </c>
      <c r="F787" s="2">
        <v>2.0</v>
      </c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 t="s">
        <v>690</v>
      </c>
      <c r="B788" s="2">
        <v>1.0</v>
      </c>
      <c r="C788" s="2" t="s">
        <v>691</v>
      </c>
      <c r="D788" s="2" t="s">
        <v>11</v>
      </c>
      <c r="E788" s="2" t="s">
        <v>678</v>
      </c>
      <c r="F788" s="2">
        <v>1.0</v>
      </c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 t="s">
        <v>692</v>
      </c>
      <c r="B789" s="2">
        <v>1.0</v>
      </c>
      <c r="C789" s="2"/>
      <c r="D789" s="2" t="s">
        <v>11</v>
      </c>
      <c r="E789" s="2" t="s">
        <v>678</v>
      </c>
      <c r="F789" s="2">
        <v>1.0</v>
      </c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 t="s">
        <v>693</v>
      </c>
      <c r="B790" s="2">
        <v>1.0</v>
      </c>
      <c r="C790" s="2"/>
      <c r="D790" s="2" t="s">
        <v>11</v>
      </c>
      <c r="E790" s="2" t="s">
        <v>678</v>
      </c>
      <c r="F790" s="2">
        <v>2.0</v>
      </c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 t="s">
        <v>694</v>
      </c>
      <c r="B791" s="2">
        <v>1.0</v>
      </c>
      <c r="C791" s="2"/>
      <c r="D791" s="2" t="s">
        <v>11</v>
      </c>
      <c r="E791" s="2" t="s">
        <v>678</v>
      </c>
      <c r="F791" s="2">
        <v>1.0</v>
      </c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 t="s">
        <v>695</v>
      </c>
      <c r="B792" s="2">
        <v>1.0</v>
      </c>
      <c r="C792" s="2"/>
      <c r="D792" s="2" t="s">
        <v>11</v>
      </c>
      <c r="E792" s="2" t="s">
        <v>678</v>
      </c>
      <c r="F792" s="2">
        <v>1.0</v>
      </c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 t="s">
        <v>696</v>
      </c>
      <c r="B793" s="2">
        <v>1.0</v>
      </c>
      <c r="C793" s="2" t="s">
        <v>697</v>
      </c>
      <c r="D793" s="2" t="s">
        <v>11</v>
      </c>
      <c r="E793" s="2" t="s">
        <v>678</v>
      </c>
      <c r="F793" s="2">
        <v>1.0</v>
      </c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 t="s">
        <v>698</v>
      </c>
      <c r="B794" s="2">
        <v>1.0</v>
      </c>
      <c r="C794" s="2"/>
      <c r="D794" s="2" t="s">
        <v>11</v>
      </c>
      <c r="E794" s="2" t="s">
        <v>678</v>
      </c>
      <c r="F794" s="2">
        <v>1.0</v>
      </c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 t="s">
        <v>699</v>
      </c>
      <c r="B795" s="2">
        <v>1.0</v>
      </c>
      <c r="C795" s="2"/>
      <c r="D795" s="2" t="s">
        <v>11</v>
      </c>
      <c r="E795" s="2" t="s">
        <v>678</v>
      </c>
      <c r="F795" s="2">
        <v>1.0</v>
      </c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 t="s">
        <v>700</v>
      </c>
      <c r="B796" s="2">
        <v>1.0</v>
      </c>
      <c r="C796" s="2" t="s">
        <v>17</v>
      </c>
      <c r="D796" s="2" t="s">
        <v>11</v>
      </c>
      <c r="E796" s="2" t="s">
        <v>678</v>
      </c>
      <c r="F796" s="2">
        <v>1.0</v>
      </c>
      <c r="G796" s="2">
        <f>SUM(F778:F796)</f>
        <v>22</v>
      </c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 t="s">
        <v>701</v>
      </c>
      <c r="B797" s="2">
        <v>1.0</v>
      </c>
      <c r="C797" s="2"/>
      <c r="D797" s="2" t="s">
        <v>11</v>
      </c>
      <c r="E797" s="2" t="s">
        <v>702</v>
      </c>
      <c r="F797" s="2">
        <v>2.0</v>
      </c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 t="s">
        <v>701</v>
      </c>
      <c r="B798" s="2"/>
      <c r="C798" s="2" t="s">
        <v>703</v>
      </c>
      <c r="D798" s="2"/>
      <c r="E798" s="2" t="s">
        <v>702</v>
      </c>
      <c r="F798" s="2">
        <v>1.0</v>
      </c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 t="s">
        <v>701</v>
      </c>
      <c r="B799" s="2"/>
      <c r="C799" s="2" t="s">
        <v>703</v>
      </c>
      <c r="D799" s="2" t="s">
        <v>11</v>
      </c>
      <c r="E799" s="2" t="s">
        <v>702</v>
      </c>
      <c r="F799" s="2">
        <v>1.0</v>
      </c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 t="s">
        <v>704</v>
      </c>
      <c r="B800" s="2">
        <v>1.0</v>
      </c>
      <c r="C800" s="2"/>
      <c r="D800" s="2" t="s">
        <v>11</v>
      </c>
      <c r="E800" s="2" t="s">
        <v>702</v>
      </c>
      <c r="F800" s="2">
        <v>1.0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 t="s">
        <v>705</v>
      </c>
      <c r="B801" s="2">
        <v>1.0</v>
      </c>
      <c r="C801" s="2"/>
      <c r="D801" s="2" t="s">
        <v>11</v>
      </c>
      <c r="E801" s="2" t="s">
        <v>702</v>
      </c>
      <c r="F801" s="2">
        <v>1.0</v>
      </c>
      <c r="G801" s="2">
        <f>SUM(F797:F801)</f>
        <v>6</v>
      </c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 t="s">
        <v>706</v>
      </c>
      <c r="B802" s="2">
        <v>1.0</v>
      </c>
      <c r="C802" s="2" t="s">
        <v>707</v>
      </c>
      <c r="D802" s="2"/>
      <c r="E802" s="2" t="s">
        <v>708</v>
      </c>
      <c r="F802" s="2">
        <v>1.0</v>
      </c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 t="s">
        <v>706</v>
      </c>
      <c r="B803" s="2"/>
      <c r="C803" s="2" t="s">
        <v>709</v>
      </c>
      <c r="D803" s="2" t="s">
        <v>11</v>
      </c>
      <c r="E803" s="2" t="s">
        <v>708</v>
      </c>
      <c r="F803" s="2">
        <v>1.0</v>
      </c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 t="s">
        <v>710</v>
      </c>
      <c r="B804" s="2">
        <v>1.0</v>
      </c>
      <c r="C804" s="2"/>
      <c r="D804" s="2"/>
      <c r="E804" s="2" t="s">
        <v>708</v>
      </c>
      <c r="F804" s="2">
        <v>1.0</v>
      </c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 t="s">
        <v>711</v>
      </c>
      <c r="B805" s="2">
        <v>1.0</v>
      </c>
      <c r="C805" s="2"/>
      <c r="D805" s="2"/>
      <c r="E805" s="2" t="s">
        <v>708</v>
      </c>
      <c r="F805" s="2">
        <v>1.0</v>
      </c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 t="s">
        <v>712</v>
      </c>
      <c r="B806" s="2">
        <v>1.0</v>
      </c>
      <c r="C806" s="2"/>
      <c r="D806" s="2"/>
      <c r="E806" s="2" t="s">
        <v>708</v>
      </c>
      <c r="F806" s="2">
        <v>1.0</v>
      </c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 t="s">
        <v>713</v>
      </c>
      <c r="B807" s="2">
        <v>1.0</v>
      </c>
      <c r="C807" s="2"/>
      <c r="D807" s="2"/>
      <c r="E807" s="2" t="s">
        <v>708</v>
      </c>
      <c r="F807" s="2">
        <v>1.0</v>
      </c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 t="s">
        <v>714</v>
      </c>
      <c r="B808" s="2">
        <v>1.0</v>
      </c>
      <c r="C808" s="2"/>
      <c r="D808" s="2"/>
      <c r="E808" s="2" t="s">
        <v>708</v>
      </c>
      <c r="F808" s="2">
        <v>1.0</v>
      </c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 t="s">
        <v>715</v>
      </c>
      <c r="B809" s="2">
        <v>1.0</v>
      </c>
      <c r="C809" s="2"/>
      <c r="D809" s="2"/>
      <c r="E809" s="2" t="s">
        <v>708</v>
      </c>
      <c r="F809" s="2">
        <v>1.0</v>
      </c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 t="s">
        <v>716</v>
      </c>
      <c r="B810" s="2">
        <v>1.0</v>
      </c>
      <c r="C810" s="2"/>
      <c r="D810" s="2"/>
      <c r="E810" s="2" t="s">
        <v>717</v>
      </c>
      <c r="F810" s="2">
        <v>1.0</v>
      </c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 t="s">
        <v>708</v>
      </c>
      <c r="B811" s="2">
        <v>1.0</v>
      </c>
      <c r="C811" s="2"/>
      <c r="D811" s="2"/>
      <c r="E811" s="2" t="s">
        <v>708</v>
      </c>
      <c r="F811" s="2">
        <v>1.0</v>
      </c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 t="s">
        <v>718</v>
      </c>
      <c r="B812" s="2">
        <v>1.0</v>
      </c>
      <c r="C812" s="2"/>
      <c r="D812" s="2" t="s">
        <v>11</v>
      </c>
      <c r="E812" s="2" t="s">
        <v>708</v>
      </c>
      <c r="F812" s="2">
        <v>1.0</v>
      </c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 t="s">
        <v>719</v>
      </c>
      <c r="B813" s="2">
        <v>1.0</v>
      </c>
      <c r="C813" s="2"/>
      <c r="D813" s="2"/>
      <c r="E813" s="2" t="s">
        <v>708</v>
      </c>
      <c r="F813" s="2">
        <v>1.0</v>
      </c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 t="s">
        <v>720</v>
      </c>
      <c r="B814" s="2">
        <v>1.0</v>
      </c>
      <c r="C814" s="2"/>
      <c r="D814" s="2"/>
      <c r="E814" s="2" t="s">
        <v>708</v>
      </c>
      <c r="F814" s="2">
        <v>1.0</v>
      </c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 t="s">
        <v>721</v>
      </c>
      <c r="B815" s="2">
        <v>1.0</v>
      </c>
      <c r="C815" s="2"/>
      <c r="D815" s="2"/>
      <c r="E815" s="2" t="s">
        <v>708</v>
      </c>
      <c r="F815" s="2">
        <v>1.0</v>
      </c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 t="s">
        <v>722</v>
      </c>
      <c r="B816" s="2">
        <v>1.0</v>
      </c>
      <c r="C816" s="2"/>
      <c r="D816" s="2"/>
      <c r="E816" s="2" t="s">
        <v>708</v>
      </c>
      <c r="F816" s="2">
        <v>1.0</v>
      </c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 t="s">
        <v>723</v>
      </c>
      <c r="B817" s="2">
        <v>1.0</v>
      </c>
      <c r="C817" s="2"/>
      <c r="D817" s="2"/>
      <c r="E817" s="2" t="s">
        <v>708</v>
      </c>
      <c r="F817" s="2">
        <v>1.0</v>
      </c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 t="s">
        <v>724</v>
      </c>
      <c r="B818" s="2">
        <v>1.0</v>
      </c>
      <c r="C818" s="2"/>
      <c r="D818" s="2"/>
      <c r="E818" s="2" t="s">
        <v>708</v>
      </c>
      <c r="F818" s="2">
        <v>1.0</v>
      </c>
      <c r="G818" s="2">
        <f>SUM(F802:F818)</f>
        <v>17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 t="s">
        <v>725</v>
      </c>
      <c r="B819" s="2">
        <v>1.0</v>
      </c>
      <c r="C819" s="2"/>
      <c r="D819" s="2"/>
      <c r="E819" s="2" t="s">
        <v>726</v>
      </c>
      <c r="F819" s="2">
        <v>1.0</v>
      </c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 t="s">
        <v>727</v>
      </c>
      <c r="B820" s="2">
        <v>1.0</v>
      </c>
      <c r="C820" s="2"/>
      <c r="D820" s="2" t="s">
        <v>11</v>
      </c>
      <c r="E820" s="2" t="s">
        <v>726</v>
      </c>
      <c r="F820" s="2">
        <v>2.0</v>
      </c>
      <c r="G820" s="2">
        <f>SUM(F819:F820)</f>
        <v>3</v>
      </c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 t="s">
        <v>728</v>
      </c>
      <c r="B821" s="2">
        <v>1.0</v>
      </c>
      <c r="C821" s="2" t="s">
        <v>729</v>
      </c>
      <c r="D821" s="2" t="s">
        <v>11</v>
      </c>
      <c r="E821" s="2" t="s">
        <v>730</v>
      </c>
      <c r="F821" s="2">
        <v>1.0</v>
      </c>
      <c r="G821" s="2">
        <v>1.0</v>
      </c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 t="s">
        <v>731</v>
      </c>
      <c r="B822" s="2">
        <v>1.0</v>
      </c>
      <c r="C822" s="2"/>
      <c r="D822" s="2"/>
      <c r="E822" s="2" t="s">
        <v>732</v>
      </c>
      <c r="F822" s="2">
        <v>1.0</v>
      </c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 t="s">
        <v>733</v>
      </c>
      <c r="B823" s="2">
        <v>1.0</v>
      </c>
      <c r="C823" s="2"/>
      <c r="D823" s="2"/>
      <c r="E823" s="2" t="s">
        <v>732</v>
      </c>
      <c r="F823" s="2">
        <v>2.0</v>
      </c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 t="s">
        <v>733</v>
      </c>
      <c r="B824" s="2"/>
      <c r="C824" s="2" t="s">
        <v>244</v>
      </c>
      <c r="D824" s="2" t="s">
        <v>11</v>
      </c>
      <c r="E824" s="2" t="s">
        <v>732</v>
      </c>
      <c r="F824" s="2">
        <v>1.0</v>
      </c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 t="s">
        <v>734</v>
      </c>
      <c r="B825" s="2">
        <v>1.0</v>
      </c>
      <c r="C825" s="2"/>
      <c r="D825" s="2"/>
      <c r="E825" s="2" t="s">
        <v>732</v>
      </c>
      <c r="F825" s="2">
        <v>1.0</v>
      </c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 t="s">
        <v>735</v>
      </c>
      <c r="B826" s="2">
        <v>1.0</v>
      </c>
      <c r="C826" s="2" t="s">
        <v>244</v>
      </c>
      <c r="D826" s="2"/>
      <c r="E826" s="2" t="s">
        <v>732</v>
      </c>
      <c r="F826" s="2">
        <v>1.0</v>
      </c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 t="s">
        <v>736</v>
      </c>
      <c r="B827" s="2">
        <v>1.0</v>
      </c>
      <c r="C827" s="2"/>
      <c r="D827" s="2"/>
      <c r="E827" s="2" t="s">
        <v>732</v>
      </c>
      <c r="F827" s="2">
        <v>1.0</v>
      </c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 t="s">
        <v>2</v>
      </c>
      <c r="B828" s="2">
        <v>1.0</v>
      </c>
      <c r="C828" s="2"/>
      <c r="D828" s="2"/>
      <c r="E828" s="2" t="s">
        <v>732</v>
      </c>
      <c r="F828" s="2">
        <v>1.0</v>
      </c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 t="s">
        <v>737</v>
      </c>
      <c r="B829" s="2"/>
      <c r="C829" s="2" t="s">
        <v>244</v>
      </c>
      <c r="D829" s="2"/>
      <c r="E829" s="2" t="s">
        <v>732</v>
      </c>
      <c r="F829" s="2">
        <v>1.0</v>
      </c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 t="s">
        <v>738</v>
      </c>
      <c r="B830" s="2">
        <v>1.0</v>
      </c>
      <c r="C830" s="2"/>
      <c r="D830" s="2"/>
      <c r="E830" s="2" t="s">
        <v>732</v>
      </c>
      <c r="F830" s="2">
        <v>1.0</v>
      </c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 t="s">
        <v>739</v>
      </c>
      <c r="B831" s="2">
        <v>1.0</v>
      </c>
      <c r="C831" s="2"/>
      <c r="D831" s="2"/>
      <c r="E831" s="2" t="s">
        <v>732</v>
      </c>
      <c r="F831" s="2">
        <v>1.0</v>
      </c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 t="s">
        <v>417</v>
      </c>
      <c r="B832" s="2">
        <v>1.0</v>
      </c>
      <c r="C832" s="2"/>
      <c r="D832" s="2"/>
      <c r="E832" s="2" t="s">
        <v>732</v>
      </c>
      <c r="F832" s="2">
        <v>1.0</v>
      </c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 t="s">
        <v>417</v>
      </c>
      <c r="B833" s="2"/>
      <c r="C833" s="2" t="s">
        <v>443</v>
      </c>
      <c r="D833" s="2"/>
      <c r="E833" s="2" t="s">
        <v>732</v>
      </c>
      <c r="F833" s="2">
        <v>1.0</v>
      </c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 t="s">
        <v>417</v>
      </c>
      <c r="B834" s="2"/>
      <c r="C834" s="2" t="s">
        <v>740</v>
      </c>
      <c r="D834" s="2"/>
      <c r="E834" s="2" t="s">
        <v>732</v>
      </c>
      <c r="F834" s="2">
        <v>1.0</v>
      </c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 t="s">
        <v>417</v>
      </c>
      <c r="B835" s="2"/>
      <c r="C835" s="2"/>
      <c r="D835" s="2" t="s">
        <v>11</v>
      </c>
      <c r="E835" s="2" t="s">
        <v>732</v>
      </c>
      <c r="F835" s="2">
        <v>1.0</v>
      </c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 t="s">
        <v>741</v>
      </c>
      <c r="B836" s="2">
        <v>1.0</v>
      </c>
      <c r="C836" s="2"/>
      <c r="D836" s="2"/>
      <c r="E836" s="2" t="s">
        <v>732</v>
      </c>
      <c r="F836" s="2">
        <v>1.0</v>
      </c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 t="s">
        <v>742</v>
      </c>
      <c r="B837" s="2">
        <v>1.0</v>
      </c>
      <c r="C837" s="2"/>
      <c r="D837" s="2"/>
      <c r="E837" s="2" t="s">
        <v>732</v>
      </c>
      <c r="F837" s="2">
        <v>3.0</v>
      </c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 t="s">
        <v>742</v>
      </c>
      <c r="B838" s="2"/>
      <c r="C838" s="2" t="s">
        <v>244</v>
      </c>
      <c r="D838" s="2"/>
      <c r="E838" s="2" t="s">
        <v>732</v>
      </c>
      <c r="F838" s="2">
        <v>1.0</v>
      </c>
      <c r="G838" s="2">
        <f>SUM(F822:F838)</f>
        <v>20</v>
      </c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 t="s">
        <v>743</v>
      </c>
      <c r="B839" s="2">
        <v>1.0</v>
      </c>
      <c r="C839" s="2"/>
      <c r="D839" s="2"/>
      <c r="E839" s="2" t="s">
        <v>744</v>
      </c>
      <c r="F839" s="2">
        <v>1.0</v>
      </c>
      <c r="G839" s="2">
        <v>1.0</v>
      </c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 t="s">
        <v>745</v>
      </c>
      <c r="B840" s="2">
        <v>1.0</v>
      </c>
      <c r="C840" s="2"/>
      <c r="D840" s="2"/>
      <c r="E840" s="2" t="s">
        <v>746</v>
      </c>
      <c r="F840" s="2">
        <v>1.0</v>
      </c>
      <c r="G840" s="2">
        <v>1.0</v>
      </c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 t="s">
        <v>647</v>
      </c>
      <c r="B841" s="2">
        <v>1.0</v>
      </c>
      <c r="C841" s="2"/>
      <c r="D841" s="2"/>
      <c r="E841" s="2" t="s">
        <v>747</v>
      </c>
      <c r="F841" s="2">
        <v>1.0</v>
      </c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 t="s">
        <v>748</v>
      </c>
      <c r="B842" s="2">
        <v>1.0</v>
      </c>
      <c r="C842" s="2"/>
      <c r="D842" s="2"/>
      <c r="E842" s="2" t="s">
        <v>747</v>
      </c>
      <c r="F842" s="2">
        <v>1.0</v>
      </c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 t="s">
        <v>747</v>
      </c>
      <c r="B843" s="2">
        <v>1.0</v>
      </c>
      <c r="C843" s="2"/>
      <c r="D843" s="2"/>
      <c r="E843" s="2" t="s">
        <v>747</v>
      </c>
      <c r="F843" s="2">
        <v>1.0</v>
      </c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 t="s">
        <v>749</v>
      </c>
      <c r="B844" s="2">
        <v>1.0</v>
      </c>
      <c r="C844" s="2"/>
      <c r="D844" s="2"/>
      <c r="E844" s="2" t="s">
        <v>747</v>
      </c>
      <c r="F844" s="2">
        <v>1.0</v>
      </c>
      <c r="G844" s="2">
        <f>SUM(F841:F844)</f>
        <v>4</v>
      </c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 t="s">
        <v>406</v>
      </c>
      <c r="B845" s="2">
        <v>1.0</v>
      </c>
      <c r="C845" s="2"/>
      <c r="D845" s="2" t="s">
        <v>11</v>
      </c>
      <c r="E845" s="2" t="s">
        <v>750</v>
      </c>
      <c r="F845" s="2">
        <v>1.0</v>
      </c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 t="s">
        <v>83</v>
      </c>
      <c r="B846" s="2">
        <v>1.0</v>
      </c>
      <c r="C846" s="2"/>
      <c r="D846" s="2"/>
      <c r="E846" s="2" t="s">
        <v>750</v>
      </c>
      <c r="F846" s="2">
        <v>2.0</v>
      </c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 t="s">
        <v>394</v>
      </c>
      <c r="B847" s="2">
        <v>1.0</v>
      </c>
      <c r="C847" s="2"/>
      <c r="D847" s="2"/>
      <c r="E847" s="2" t="s">
        <v>750</v>
      </c>
      <c r="F847" s="2">
        <v>1.0</v>
      </c>
      <c r="G847" s="2">
        <f>SUM(F845:F847)</f>
        <v>4</v>
      </c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 t="s">
        <v>751</v>
      </c>
      <c r="B848" s="2">
        <v>1.0</v>
      </c>
      <c r="C848" s="2"/>
      <c r="D848" s="2"/>
      <c r="E848" s="2" t="s">
        <v>752</v>
      </c>
      <c r="F848" s="2">
        <v>1.0</v>
      </c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 t="s">
        <v>318</v>
      </c>
      <c r="B849" s="2">
        <v>1.0</v>
      </c>
      <c r="C849" s="2"/>
      <c r="D849" s="2"/>
      <c r="E849" s="2" t="s">
        <v>752</v>
      </c>
      <c r="F849" s="2">
        <v>2.0</v>
      </c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 t="s">
        <v>753</v>
      </c>
      <c r="B850" s="2">
        <v>1.0</v>
      </c>
      <c r="C850" s="2"/>
      <c r="D850" s="2"/>
      <c r="E850" s="2" t="s">
        <v>752</v>
      </c>
      <c r="F850" s="2">
        <v>1.0</v>
      </c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 t="s">
        <v>754</v>
      </c>
      <c r="B851" s="2">
        <v>1.0</v>
      </c>
      <c r="C851" s="2"/>
      <c r="D851" s="2"/>
      <c r="E851" s="2" t="s">
        <v>752</v>
      </c>
      <c r="F851" s="2">
        <v>2.0</v>
      </c>
      <c r="G851" s="2">
        <f>SUM(F848:F851)</f>
        <v>6</v>
      </c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 t="s">
        <v>755</v>
      </c>
      <c r="B852" s="2">
        <v>1.0</v>
      </c>
      <c r="C852" s="2" t="s">
        <v>756</v>
      </c>
      <c r="D852" s="2" t="s">
        <v>11</v>
      </c>
      <c r="E852" s="2" t="s">
        <v>757</v>
      </c>
      <c r="F852" s="2">
        <v>1.0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 t="s">
        <v>755</v>
      </c>
      <c r="B853" s="2"/>
      <c r="C853" s="2" t="s">
        <v>488</v>
      </c>
      <c r="D853" s="2" t="s">
        <v>11</v>
      </c>
      <c r="E853" s="2" t="s">
        <v>757</v>
      </c>
      <c r="F853" s="2">
        <v>1.0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 t="s">
        <v>758</v>
      </c>
      <c r="B854" s="2">
        <v>1.0</v>
      </c>
      <c r="C854" s="2"/>
      <c r="D854" s="2" t="s">
        <v>11</v>
      </c>
      <c r="E854" s="2" t="s">
        <v>757</v>
      </c>
      <c r="F854" s="2">
        <v>1.0</v>
      </c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 t="s">
        <v>759</v>
      </c>
      <c r="B855" s="2">
        <v>1.0</v>
      </c>
      <c r="C855" s="2" t="s">
        <v>39</v>
      </c>
      <c r="D855" s="2" t="s">
        <v>11</v>
      </c>
      <c r="E855" s="2" t="s">
        <v>757</v>
      </c>
      <c r="F855" s="2">
        <v>2.0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 t="s">
        <v>759</v>
      </c>
      <c r="B856" s="2"/>
      <c r="C856" s="2" t="s">
        <v>31</v>
      </c>
      <c r="D856" s="2" t="s">
        <v>11</v>
      </c>
      <c r="E856" s="2" t="s">
        <v>757</v>
      </c>
      <c r="F856" s="2">
        <v>1.0</v>
      </c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 t="s">
        <v>760</v>
      </c>
      <c r="B857" s="2">
        <v>1.0</v>
      </c>
      <c r="C857" s="2"/>
      <c r="D857" s="2" t="s">
        <v>11</v>
      </c>
      <c r="E857" s="2" t="s">
        <v>757</v>
      </c>
      <c r="F857" s="2">
        <v>1.0</v>
      </c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 t="s">
        <v>761</v>
      </c>
      <c r="B858" s="2">
        <v>1.0</v>
      </c>
      <c r="C858" s="2"/>
      <c r="D858" s="2" t="s">
        <v>11</v>
      </c>
      <c r="E858" s="2" t="s">
        <v>757</v>
      </c>
      <c r="F858" s="2">
        <v>1.0</v>
      </c>
      <c r="G858" s="2">
        <f>SUM(F852:F858)</f>
        <v>8</v>
      </c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 t="s">
        <v>762</v>
      </c>
      <c r="B859" s="2">
        <v>1.0</v>
      </c>
      <c r="C859" s="2" t="s">
        <v>10</v>
      </c>
      <c r="D859" s="2"/>
      <c r="E859" s="2" t="s">
        <v>763</v>
      </c>
      <c r="F859" s="2">
        <v>1.0</v>
      </c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 t="s">
        <v>764</v>
      </c>
      <c r="B860" s="2">
        <v>1.0</v>
      </c>
      <c r="C860" s="2" t="s">
        <v>765</v>
      </c>
      <c r="D860" s="2"/>
      <c r="E860" s="2" t="s">
        <v>763</v>
      </c>
      <c r="F860" s="2">
        <v>1.0</v>
      </c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 t="s">
        <v>766</v>
      </c>
      <c r="B861" s="2">
        <v>1.0</v>
      </c>
      <c r="C861" s="2"/>
      <c r="D861" s="2"/>
      <c r="E861" s="2" t="s">
        <v>763</v>
      </c>
      <c r="F861" s="2">
        <v>1.0</v>
      </c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 t="s">
        <v>766</v>
      </c>
      <c r="B862" s="2"/>
      <c r="C862" s="2"/>
      <c r="D862" s="2" t="s">
        <v>11</v>
      </c>
      <c r="E862" s="2" t="s">
        <v>763</v>
      </c>
      <c r="F862" s="2">
        <v>1.0</v>
      </c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 t="s">
        <v>767</v>
      </c>
      <c r="B863" s="2">
        <v>1.0</v>
      </c>
      <c r="C863" s="2"/>
      <c r="D863" s="2"/>
      <c r="E863" s="2" t="s">
        <v>763</v>
      </c>
      <c r="F863" s="2">
        <v>1.0</v>
      </c>
      <c r="G863" s="2">
        <f>SUM(F859:F863)</f>
        <v>5</v>
      </c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 t="s">
        <v>768</v>
      </c>
      <c r="B864" s="2">
        <v>1.0</v>
      </c>
      <c r="C864" s="2"/>
      <c r="D864" s="2" t="s">
        <v>11</v>
      </c>
      <c r="E864" s="2" t="s">
        <v>769</v>
      </c>
      <c r="F864" s="2">
        <v>2.0</v>
      </c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8" t="s">
        <v>770</v>
      </c>
      <c r="B865" s="9">
        <v>1.0</v>
      </c>
      <c r="C865" s="9" t="s">
        <v>315</v>
      </c>
      <c r="D865" s="9" t="s">
        <v>11</v>
      </c>
      <c r="E865" s="9" t="s">
        <v>769</v>
      </c>
      <c r="F865" s="9">
        <v>1.0</v>
      </c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 t="s">
        <v>771</v>
      </c>
      <c r="B866" s="2">
        <v>1.0</v>
      </c>
      <c r="C866" s="2"/>
      <c r="D866" s="2" t="s">
        <v>11</v>
      </c>
      <c r="E866" s="2" t="s">
        <v>769</v>
      </c>
      <c r="F866" s="2">
        <v>2.0</v>
      </c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 t="s">
        <v>772</v>
      </c>
      <c r="B867" s="2">
        <v>1.0</v>
      </c>
      <c r="C867" s="2"/>
      <c r="D867" s="2" t="s">
        <v>11</v>
      </c>
      <c r="E867" s="2" t="s">
        <v>769</v>
      </c>
      <c r="F867" s="2">
        <v>1.0</v>
      </c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8" t="s">
        <v>773</v>
      </c>
      <c r="B868" s="9">
        <v>1.0</v>
      </c>
      <c r="C868" s="2"/>
      <c r="D868" s="9" t="s">
        <v>11</v>
      </c>
      <c r="E868" s="9" t="s">
        <v>769</v>
      </c>
      <c r="F868" s="9">
        <v>1.0</v>
      </c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 t="s">
        <v>774</v>
      </c>
      <c r="B869" s="2">
        <v>1.0</v>
      </c>
      <c r="C869" s="2"/>
      <c r="D869" s="2" t="s">
        <v>11</v>
      </c>
      <c r="E869" s="2" t="s">
        <v>769</v>
      </c>
      <c r="F869" s="2">
        <v>1.0</v>
      </c>
      <c r="G869" s="2">
        <f>SUM(F864:F869)</f>
        <v>8</v>
      </c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 t="s">
        <v>775</v>
      </c>
      <c r="B870" s="2">
        <v>1.0</v>
      </c>
      <c r="C870" s="2"/>
      <c r="D870" s="2"/>
      <c r="E870" s="2" t="s">
        <v>776</v>
      </c>
      <c r="F870" s="2">
        <v>1.0</v>
      </c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 t="s">
        <v>777</v>
      </c>
      <c r="B871" s="2">
        <v>1.0</v>
      </c>
      <c r="C871" s="2"/>
      <c r="D871" s="2"/>
      <c r="E871" s="2" t="s">
        <v>776</v>
      </c>
      <c r="F871" s="2">
        <v>2.0</v>
      </c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 t="s">
        <v>777</v>
      </c>
      <c r="B872" s="2"/>
      <c r="C872" s="2" t="s">
        <v>244</v>
      </c>
      <c r="D872" s="2"/>
      <c r="E872" s="2" t="s">
        <v>776</v>
      </c>
      <c r="F872" s="2">
        <v>1.0</v>
      </c>
      <c r="G872" s="2">
        <f>SUM(F870:F872)</f>
        <v>4</v>
      </c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 t="s">
        <v>778</v>
      </c>
      <c r="B873" s="2">
        <v>1.0</v>
      </c>
      <c r="C873" s="2"/>
      <c r="D873" s="2" t="s">
        <v>11</v>
      </c>
      <c r="E873" s="2" t="s">
        <v>779</v>
      </c>
      <c r="F873" s="2">
        <v>1.0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 t="s">
        <v>780</v>
      </c>
      <c r="B874" s="2">
        <v>1.0</v>
      </c>
      <c r="C874" s="2"/>
      <c r="D874" s="2" t="s">
        <v>11</v>
      </c>
      <c r="E874" s="2" t="s">
        <v>779</v>
      </c>
      <c r="F874" s="2">
        <v>1.0</v>
      </c>
      <c r="G874" s="2">
        <f>SUM(F873:F874)</f>
        <v>2</v>
      </c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8" t="s">
        <v>781</v>
      </c>
      <c r="B875" s="9">
        <v>1.0</v>
      </c>
      <c r="C875" s="2"/>
      <c r="D875" s="9" t="s">
        <v>11</v>
      </c>
      <c r="E875" s="11" t="s">
        <v>782</v>
      </c>
      <c r="F875" s="9">
        <v>1.0</v>
      </c>
      <c r="G875" s="9">
        <v>1.0</v>
      </c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 t="s">
        <v>783</v>
      </c>
      <c r="B876" s="2">
        <v>1.0</v>
      </c>
      <c r="C876" s="2"/>
      <c r="D876" s="2"/>
      <c r="E876" s="2" t="s">
        <v>784</v>
      </c>
      <c r="F876" s="2">
        <v>1.0</v>
      </c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 t="s">
        <v>785</v>
      </c>
      <c r="B877" s="2">
        <v>1.0</v>
      </c>
      <c r="C877" s="2"/>
      <c r="D877" s="2"/>
      <c r="E877" s="2" t="s">
        <v>784</v>
      </c>
      <c r="F877" s="2">
        <v>1.0</v>
      </c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 t="s">
        <v>786</v>
      </c>
      <c r="B878" s="2">
        <v>1.0</v>
      </c>
      <c r="C878" s="2"/>
      <c r="D878" s="2"/>
      <c r="E878" s="2" t="s">
        <v>784</v>
      </c>
      <c r="F878" s="2">
        <v>1.0</v>
      </c>
      <c r="G878" s="2">
        <f>SUM(F876:F878)</f>
        <v>3</v>
      </c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 t="s">
        <v>787</v>
      </c>
      <c r="B879" s="2">
        <v>1.0</v>
      </c>
      <c r="C879" s="2"/>
      <c r="D879" s="2" t="s">
        <v>11</v>
      </c>
      <c r="E879" s="2" t="s">
        <v>788</v>
      </c>
      <c r="F879" s="2">
        <v>1.0</v>
      </c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 t="s">
        <v>789</v>
      </c>
      <c r="B880" s="2">
        <v>1.0</v>
      </c>
      <c r="C880" s="2"/>
      <c r="D880" s="2" t="s">
        <v>11</v>
      </c>
      <c r="E880" s="2" t="s">
        <v>788</v>
      </c>
      <c r="F880" s="2">
        <v>1.0</v>
      </c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 t="s">
        <v>790</v>
      </c>
      <c r="B881" s="2">
        <v>1.0</v>
      </c>
      <c r="C881" s="2"/>
      <c r="D881" s="2" t="s">
        <v>11</v>
      </c>
      <c r="E881" s="2" t="s">
        <v>788</v>
      </c>
      <c r="F881" s="2">
        <v>1.0</v>
      </c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 t="s">
        <v>791</v>
      </c>
      <c r="B882" s="2">
        <v>1.0</v>
      </c>
      <c r="C882" s="2"/>
      <c r="D882" s="2" t="s">
        <v>11</v>
      </c>
      <c r="E882" s="2" t="s">
        <v>788</v>
      </c>
      <c r="F882" s="2">
        <v>1.0</v>
      </c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 t="s">
        <v>792</v>
      </c>
      <c r="B883" s="2">
        <v>1.0</v>
      </c>
      <c r="C883" s="2"/>
      <c r="D883" s="2"/>
      <c r="E883" s="2" t="s">
        <v>788</v>
      </c>
      <c r="F883" s="2">
        <v>1.0</v>
      </c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 t="s">
        <v>793</v>
      </c>
      <c r="B884" s="2">
        <v>1.0</v>
      </c>
      <c r="C884" s="2"/>
      <c r="D884" s="2" t="s">
        <v>11</v>
      </c>
      <c r="E884" s="2" t="s">
        <v>788</v>
      </c>
      <c r="F884" s="2">
        <v>1.0</v>
      </c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 t="s">
        <v>794</v>
      </c>
      <c r="B885" s="2">
        <v>1.0</v>
      </c>
      <c r="C885" s="2"/>
      <c r="D885" s="2" t="s">
        <v>11</v>
      </c>
      <c r="E885" s="2" t="s">
        <v>788</v>
      </c>
      <c r="F885" s="2">
        <v>1.0</v>
      </c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 t="s">
        <v>795</v>
      </c>
      <c r="B886" s="2">
        <v>1.0</v>
      </c>
      <c r="C886" s="2"/>
      <c r="D886" s="2" t="s">
        <v>11</v>
      </c>
      <c r="E886" s="2" t="s">
        <v>788</v>
      </c>
      <c r="F886" s="2">
        <v>1.0</v>
      </c>
      <c r="G886" s="2">
        <f>SUM(F879:F886)</f>
        <v>8</v>
      </c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 t="s">
        <v>796</v>
      </c>
      <c r="B887" s="2">
        <v>1.0</v>
      </c>
      <c r="C887" s="2" t="s">
        <v>205</v>
      </c>
      <c r="D887" s="2" t="s">
        <v>11</v>
      </c>
      <c r="E887" s="2" t="s">
        <v>797</v>
      </c>
      <c r="F887" s="2">
        <v>1.0</v>
      </c>
      <c r="G887" s="2">
        <v>1.0</v>
      </c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8" t="s">
        <v>798</v>
      </c>
      <c r="B888" s="9">
        <v>1.0</v>
      </c>
      <c r="C888" s="9" t="s">
        <v>83</v>
      </c>
      <c r="D888" s="9" t="s">
        <v>11</v>
      </c>
      <c r="E888" s="11" t="s">
        <v>799</v>
      </c>
      <c r="F888" s="9">
        <v>1.0</v>
      </c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8" t="s">
        <v>798</v>
      </c>
      <c r="B889" s="2"/>
      <c r="C889" s="9" t="s">
        <v>800</v>
      </c>
      <c r="D889" s="9" t="s">
        <v>11</v>
      </c>
      <c r="E889" s="11" t="s">
        <v>799</v>
      </c>
      <c r="F889" s="9">
        <v>1.0</v>
      </c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8" t="s">
        <v>801</v>
      </c>
      <c r="B890" s="9">
        <v>1.0</v>
      </c>
      <c r="C890" s="2"/>
      <c r="D890" s="9" t="s">
        <v>11</v>
      </c>
      <c r="E890" s="11" t="s">
        <v>799</v>
      </c>
      <c r="F890" s="9">
        <v>1.0</v>
      </c>
      <c r="G890" s="2">
        <f>SUM(F888:F890)</f>
        <v>3</v>
      </c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 t="s">
        <v>802</v>
      </c>
      <c r="B891" s="2">
        <v>1.0</v>
      </c>
      <c r="C891" s="2"/>
      <c r="D891" s="2"/>
      <c r="E891" s="2" t="s">
        <v>803</v>
      </c>
      <c r="F891" s="2">
        <v>1.0</v>
      </c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 t="s">
        <v>804</v>
      </c>
      <c r="B892" s="2">
        <v>1.0</v>
      </c>
      <c r="C892" s="2"/>
      <c r="D892" s="2"/>
      <c r="E892" s="2" t="s">
        <v>803</v>
      </c>
      <c r="F892" s="2">
        <v>1.0</v>
      </c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 t="s">
        <v>83</v>
      </c>
      <c r="B893" s="2">
        <v>1.0</v>
      </c>
      <c r="C893" s="2"/>
      <c r="D893" s="2"/>
      <c r="E893" s="2" t="s">
        <v>803</v>
      </c>
      <c r="F893" s="2">
        <v>1.0</v>
      </c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 t="s">
        <v>83</v>
      </c>
      <c r="B894" s="2"/>
      <c r="C894" s="2" t="s">
        <v>563</v>
      </c>
      <c r="D894" s="2"/>
      <c r="E894" s="2" t="s">
        <v>803</v>
      </c>
      <c r="F894" s="2">
        <v>1.0</v>
      </c>
      <c r="G894" s="2">
        <f>SUM(F891:F894)</f>
        <v>4</v>
      </c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 t="s">
        <v>805</v>
      </c>
      <c r="B895" s="2">
        <v>1.0</v>
      </c>
      <c r="C895" s="2"/>
      <c r="D895" s="2"/>
      <c r="E895" s="2" t="s">
        <v>806</v>
      </c>
      <c r="F895" s="2">
        <v>1.0</v>
      </c>
      <c r="G895" s="2">
        <v>1.0</v>
      </c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21" t="s">
        <v>807</v>
      </c>
      <c r="B896" s="22">
        <f>SUM(B4:B895)</f>
        <v>493</v>
      </c>
      <c r="C896" s="2"/>
      <c r="D896" s="2"/>
      <c r="E896" s="2"/>
      <c r="F896" s="22">
        <f t="shared" ref="F896:G896" si="1">SUM(F4:F895)</f>
        <v>1052</v>
      </c>
      <c r="G896" s="22">
        <f t="shared" si="1"/>
        <v>1052</v>
      </c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2"/>
      <c r="D897" s="2"/>
      <c r="E897" s="2"/>
      <c r="F897" s="2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2"/>
      <c r="D898" s="2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 t="s">
        <v>808</v>
      </c>
      <c r="B899" s="2"/>
      <c r="C899" s="2"/>
      <c r="D899" s="2"/>
      <c r="E899" s="2"/>
      <c r="F899" s="2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2"/>
      <c r="D900" s="2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5.5" customHeight="1">
      <c r="A901" s="3" t="s">
        <v>809</v>
      </c>
      <c r="B901" s="3"/>
      <c r="C901" s="3" t="s">
        <v>5</v>
      </c>
      <c r="D901" s="3" t="s">
        <v>810</v>
      </c>
      <c r="E901" s="3" t="s">
        <v>811</v>
      </c>
      <c r="F901" s="3" t="s">
        <v>812</v>
      </c>
      <c r="G901" s="23" t="s">
        <v>813</v>
      </c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 t="s">
        <v>8</v>
      </c>
      <c r="B902" s="2"/>
      <c r="C902" s="2">
        <f t="shared" ref="C902:C903" si="2">G136</f>
        <v>147</v>
      </c>
      <c r="D902" s="2"/>
      <c r="E902" s="2"/>
      <c r="F902" s="2">
        <f>+C902-G902</f>
        <v>35</v>
      </c>
      <c r="G902" s="2">
        <f>SUMIF(D4:D136,"Grande",F4:F136)+5</f>
        <v>112</v>
      </c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8" t="s">
        <v>131</v>
      </c>
      <c r="B903" s="2"/>
      <c r="C903" s="2">
        <f t="shared" si="2"/>
        <v>1</v>
      </c>
      <c r="D903" s="2"/>
      <c r="E903" s="2"/>
      <c r="F903" s="9">
        <v>1.0</v>
      </c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 t="s">
        <v>132</v>
      </c>
      <c r="B904" s="2"/>
      <c r="C904" s="2">
        <f>G300</f>
        <v>196</v>
      </c>
      <c r="D904" s="2"/>
      <c r="E904" s="2"/>
      <c r="F904" s="2">
        <f t="shared" ref="F904:F915" si="3">+C904-G904</f>
        <v>44</v>
      </c>
      <c r="G904" s="2">
        <f>SUMIF(D138:D300,"Grande",F138:F300)</f>
        <v>152</v>
      </c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 t="s">
        <v>275</v>
      </c>
      <c r="B905" s="2"/>
      <c r="C905" s="2">
        <f>G307</f>
        <v>7</v>
      </c>
      <c r="D905" s="2"/>
      <c r="E905" s="2"/>
      <c r="F905" s="2">
        <f t="shared" si="3"/>
        <v>4</v>
      </c>
      <c r="G905" s="2">
        <f>SUMIF(D301:D307,"Grande",F301:F307)</f>
        <v>3</v>
      </c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 t="s">
        <v>283</v>
      </c>
      <c r="B906" s="2"/>
      <c r="C906" s="2">
        <f>G324</f>
        <v>21</v>
      </c>
      <c r="D906" s="2"/>
      <c r="E906" s="2"/>
      <c r="F906" s="2">
        <f t="shared" si="3"/>
        <v>5</v>
      </c>
      <c r="G906" s="2">
        <f>SUMIF(D308:D324,"Grande",F308:F324)</f>
        <v>16</v>
      </c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 t="s">
        <v>302</v>
      </c>
      <c r="B907" s="2"/>
      <c r="C907" s="2">
        <f>G335</f>
        <v>12</v>
      </c>
      <c r="D907" s="2"/>
      <c r="E907" s="2"/>
      <c r="F907" s="2">
        <f t="shared" si="3"/>
        <v>11</v>
      </c>
      <c r="G907" s="2">
        <f>SUMIF(D325:D335,"Grande",F325:F335)</f>
        <v>1</v>
      </c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 t="s">
        <v>311</v>
      </c>
      <c r="B908" s="2"/>
      <c r="C908" s="2">
        <f t="shared" ref="C908:C909" si="4">G491</f>
        <v>211</v>
      </c>
      <c r="D908" s="2"/>
      <c r="E908" s="2"/>
      <c r="F908" s="2">
        <f t="shared" si="3"/>
        <v>148</v>
      </c>
      <c r="G908" s="2">
        <f>SUMIF(D336:D491,"Grande",F336:F491)</f>
        <v>63</v>
      </c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 t="s">
        <v>435</v>
      </c>
      <c r="B909" s="2"/>
      <c r="C909" s="2">
        <f t="shared" si="4"/>
        <v>1</v>
      </c>
      <c r="D909" s="2"/>
      <c r="E909" s="2"/>
      <c r="F909" s="2">
        <f t="shared" si="3"/>
        <v>0</v>
      </c>
      <c r="G909" s="2">
        <f>SUMIF(D492,"Grande",F492)</f>
        <v>1</v>
      </c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 t="s">
        <v>437</v>
      </c>
      <c r="B910" s="2"/>
      <c r="C910" s="2">
        <f>G494</f>
        <v>2</v>
      </c>
      <c r="D910" s="2"/>
      <c r="E910" s="2"/>
      <c r="F910" s="2">
        <f t="shared" si="3"/>
        <v>2</v>
      </c>
      <c r="G910" s="2">
        <f>SUMIF(D493:D494,"Grande",F493:F494)</f>
        <v>0</v>
      </c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 t="s">
        <v>439</v>
      </c>
      <c r="B911" s="2"/>
      <c r="C911" s="2">
        <f>G517</f>
        <v>29</v>
      </c>
      <c r="D911" s="2"/>
      <c r="E911" s="2"/>
      <c r="F911" s="2">
        <f t="shared" si="3"/>
        <v>24</v>
      </c>
      <c r="G911" s="2">
        <f>SUMIF(D495:D517,"Grande",F495:F517)</f>
        <v>5</v>
      </c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 t="s">
        <v>458</v>
      </c>
      <c r="B912" s="2"/>
      <c r="C912" s="2">
        <f>G521</f>
        <v>4</v>
      </c>
      <c r="D912" s="2"/>
      <c r="E912" s="2"/>
      <c r="F912" s="2">
        <f t="shared" si="3"/>
        <v>1</v>
      </c>
      <c r="G912" s="2">
        <f>SUMIF(D518:D521,"Grande",F518:F521)</f>
        <v>3</v>
      </c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 t="s">
        <v>461</v>
      </c>
      <c r="B913" s="2"/>
      <c r="C913" s="2">
        <f>G528</f>
        <v>10</v>
      </c>
      <c r="D913" s="2"/>
      <c r="E913" s="2"/>
      <c r="F913" s="2">
        <f t="shared" si="3"/>
        <v>9</v>
      </c>
      <c r="G913" s="2">
        <f>SUMIF(D522:D528,"Grande",F522:F528)</f>
        <v>1</v>
      </c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 t="s">
        <v>465</v>
      </c>
      <c r="B914" s="2"/>
      <c r="C914" s="2">
        <f>+G533</f>
        <v>5</v>
      </c>
      <c r="D914" s="2"/>
      <c r="E914" s="2"/>
      <c r="F914" s="2">
        <f t="shared" si="3"/>
        <v>2</v>
      </c>
      <c r="G914" s="2">
        <f>SUMIF(D529:D531,"Grande",F529:F531)</f>
        <v>3</v>
      </c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 t="s">
        <v>470</v>
      </c>
      <c r="B915" s="2"/>
      <c r="C915" s="2">
        <f>G543</f>
        <v>10</v>
      </c>
      <c r="D915" s="2"/>
      <c r="E915" s="2"/>
      <c r="F915" s="2">
        <f t="shared" si="3"/>
        <v>10</v>
      </c>
      <c r="G915" s="2">
        <f>SUMIF(D534:D543,"Grande",F534:F543)</f>
        <v>0</v>
      </c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8" t="s">
        <v>475</v>
      </c>
      <c r="B916" s="2"/>
      <c r="C916" s="2">
        <f>G545</f>
        <v>2</v>
      </c>
      <c r="D916" s="2"/>
      <c r="E916" s="2"/>
      <c r="F916" s="2"/>
      <c r="G916" s="2">
        <f>SUMIF(D544:D545,"Grande",F544:F545)</f>
        <v>2</v>
      </c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 t="s">
        <v>478</v>
      </c>
      <c r="B917" s="2"/>
      <c r="C917" s="2">
        <f>G568</f>
        <v>23</v>
      </c>
      <c r="D917" s="2"/>
      <c r="E917" s="2"/>
      <c r="F917" s="2">
        <f t="shared" ref="F917:F919" si="5">+C917-G917</f>
        <v>8</v>
      </c>
      <c r="G917" s="2">
        <f>SUMIF(D546:D568,"Grande",F546:F568)</f>
        <v>15</v>
      </c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 t="s">
        <v>495</v>
      </c>
      <c r="B918" s="2"/>
      <c r="C918" s="2">
        <f>G623</f>
        <v>65</v>
      </c>
      <c r="D918" s="2"/>
      <c r="E918" s="2"/>
      <c r="F918" s="2">
        <f t="shared" si="5"/>
        <v>51</v>
      </c>
      <c r="G918" s="2">
        <f>SUMIF(D569:D623,"Grande",F569:F623)</f>
        <v>14</v>
      </c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 t="s">
        <v>544</v>
      </c>
      <c r="B919" s="2"/>
      <c r="C919" s="2">
        <f>G628</f>
        <v>5</v>
      </c>
      <c r="D919" s="2"/>
      <c r="E919" s="2"/>
      <c r="F919" s="2">
        <f t="shared" si="5"/>
        <v>1</v>
      </c>
      <c r="G919" s="2">
        <f>SUMIF(D624:D628,"Grande",F624:F628)</f>
        <v>4</v>
      </c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8" t="s">
        <v>549</v>
      </c>
      <c r="B920" s="2"/>
      <c r="C920" s="2">
        <f>G630</f>
        <v>2</v>
      </c>
      <c r="D920" s="2"/>
      <c r="E920" s="2"/>
      <c r="F920" s="2"/>
      <c r="G920" s="2">
        <f>SUMIF(D629:D630,"Grande",F629:F630)</f>
        <v>2</v>
      </c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 t="s">
        <v>553</v>
      </c>
      <c r="B921" s="2"/>
      <c r="C921" s="2">
        <f>G635</f>
        <v>5</v>
      </c>
      <c r="D921" s="2"/>
      <c r="E921" s="2"/>
      <c r="F921" s="2">
        <f t="shared" ref="F921:F933" si="6">+C921-G921</f>
        <v>1</v>
      </c>
      <c r="G921" s="2">
        <f>SUMIF(D631:D635,"Grande",F631:F635)</f>
        <v>4</v>
      </c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 t="s">
        <v>559</v>
      </c>
      <c r="B922" s="2"/>
      <c r="C922" s="2">
        <f t="shared" ref="C922:C924" si="7">G672</f>
        <v>38</v>
      </c>
      <c r="D922" s="2"/>
      <c r="E922" s="2"/>
      <c r="F922" s="2">
        <f t="shared" si="6"/>
        <v>33</v>
      </c>
      <c r="G922" s="2">
        <f>SUMIF(D636:D672,"Grande",F636:F672)</f>
        <v>5</v>
      </c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 t="s">
        <v>590</v>
      </c>
      <c r="B923" s="2"/>
      <c r="C923" s="2">
        <f t="shared" si="7"/>
        <v>1</v>
      </c>
      <c r="D923" s="2"/>
      <c r="E923" s="2"/>
      <c r="F923" s="2">
        <f t="shared" si="6"/>
        <v>1</v>
      </c>
      <c r="G923" s="2">
        <f t="shared" ref="G923:G924" si="8">SUMIF(D673,"Grande",F673)</f>
        <v>0</v>
      </c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 t="s">
        <v>592</v>
      </c>
      <c r="B924" s="2"/>
      <c r="C924" s="2">
        <f t="shared" si="7"/>
        <v>1</v>
      </c>
      <c r="D924" s="2"/>
      <c r="E924" s="2"/>
      <c r="F924" s="2">
        <f t="shared" si="6"/>
        <v>1</v>
      </c>
      <c r="G924" s="2">
        <f t="shared" si="8"/>
        <v>0</v>
      </c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 t="s">
        <v>594</v>
      </c>
      <c r="B925" s="2"/>
      <c r="C925" s="2">
        <f>G709</f>
        <v>37</v>
      </c>
      <c r="D925" s="2"/>
      <c r="E925" s="2"/>
      <c r="F925" s="2">
        <f t="shared" si="6"/>
        <v>15</v>
      </c>
      <c r="G925" s="2">
        <f>SUMIF(D675:D709,"Grande",F675:F709)</f>
        <v>22</v>
      </c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8" t="s">
        <v>626</v>
      </c>
      <c r="B926" s="2"/>
      <c r="C926" s="2">
        <f>G714</f>
        <v>5</v>
      </c>
      <c r="D926" s="2"/>
      <c r="E926" s="2"/>
      <c r="F926" s="2">
        <f t="shared" si="6"/>
        <v>5</v>
      </c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 t="s">
        <v>631</v>
      </c>
      <c r="B927" s="2"/>
      <c r="C927" s="2">
        <f>G772</f>
        <v>74</v>
      </c>
      <c r="D927" s="2"/>
      <c r="E927" s="2"/>
      <c r="F927" s="2">
        <f t="shared" si="6"/>
        <v>38</v>
      </c>
      <c r="G927" s="2">
        <f>SUMIF(D715:D772,"Grande",F715:F772)</f>
        <v>36</v>
      </c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 t="s">
        <v>671</v>
      </c>
      <c r="B928" s="2"/>
      <c r="C928" s="2">
        <f t="shared" ref="C928:C929" si="9">G776</f>
        <v>4</v>
      </c>
      <c r="D928" s="2"/>
      <c r="E928" s="2"/>
      <c r="F928" s="2">
        <f t="shared" si="6"/>
        <v>0</v>
      </c>
      <c r="G928" s="2">
        <f>SUMIF(D773:D776,"Grande",F773:F776)</f>
        <v>4</v>
      </c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 t="s">
        <v>676</v>
      </c>
      <c r="B929" s="2"/>
      <c r="C929" s="2">
        <f t="shared" si="9"/>
        <v>1</v>
      </c>
      <c r="D929" s="2"/>
      <c r="E929" s="2"/>
      <c r="F929" s="2">
        <f t="shared" si="6"/>
        <v>0</v>
      </c>
      <c r="G929" s="2">
        <f>SUMIF(D777,"Grande",F777)</f>
        <v>1</v>
      </c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 t="s">
        <v>678</v>
      </c>
      <c r="B930" s="2"/>
      <c r="C930" s="2">
        <f>G796</f>
        <v>22</v>
      </c>
      <c r="D930" s="2"/>
      <c r="E930" s="2"/>
      <c r="F930" s="2">
        <f t="shared" si="6"/>
        <v>1</v>
      </c>
      <c r="G930" s="2">
        <f>SUMIF(D778:D796,"Grande",F778:F796)</f>
        <v>21</v>
      </c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 t="s">
        <v>702</v>
      </c>
      <c r="B931" s="2"/>
      <c r="C931" s="2">
        <f>G801</f>
        <v>6</v>
      </c>
      <c r="D931" s="2"/>
      <c r="E931" s="2"/>
      <c r="F931" s="2">
        <f t="shared" si="6"/>
        <v>1</v>
      </c>
      <c r="G931" s="2">
        <f>SUMIF(D797:D801,"Grande",F797:F801)</f>
        <v>5</v>
      </c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 t="s">
        <v>708</v>
      </c>
      <c r="B932" s="2"/>
      <c r="C932" s="2">
        <f>G818</f>
        <v>17</v>
      </c>
      <c r="D932" s="2"/>
      <c r="E932" s="2"/>
      <c r="F932" s="2">
        <f t="shared" si="6"/>
        <v>15</v>
      </c>
      <c r="G932" s="2">
        <f>SUMIF(D802:D818,"Grande",F802:F818)</f>
        <v>2</v>
      </c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 t="s">
        <v>726</v>
      </c>
      <c r="B933" s="2"/>
      <c r="C933" s="2">
        <f t="shared" ref="C933:C934" si="10">G820</f>
        <v>3</v>
      </c>
      <c r="D933" s="2"/>
      <c r="E933" s="2"/>
      <c r="F933" s="2">
        <f t="shared" si="6"/>
        <v>1</v>
      </c>
      <c r="G933" s="2">
        <f>SUMIF(D819:D820,"Grande",F819:F820)</f>
        <v>2</v>
      </c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 t="s">
        <v>730</v>
      </c>
      <c r="B934" s="2"/>
      <c r="C934" s="2">
        <f t="shared" si="10"/>
        <v>1</v>
      </c>
      <c r="D934" s="2"/>
      <c r="E934" s="2"/>
      <c r="F934" s="2"/>
      <c r="G934" s="2">
        <f>SUMIF(D821,"Grande",F821)</f>
        <v>1</v>
      </c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 t="s">
        <v>732</v>
      </c>
      <c r="B935" s="2"/>
      <c r="C935" s="2">
        <f t="shared" ref="C935:C937" si="11">G838</f>
        <v>20</v>
      </c>
      <c r="D935" s="2"/>
      <c r="E935" s="2"/>
      <c r="F935" s="2">
        <f t="shared" ref="F935:F945" si="12">+C935-G935</f>
        <v>18</v>
      </c>
      <c r="G935" s="2">
        <f>SUMIF(D822:D838,"Grande",F822:F838)</f>
        <v>2</v>
      </c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 t="s">
        <v>744</v>
      </c>
      <c r="B936" s="2"/>
      <c r="C936" s="2">
        <f t="shared" si="11"/>
        <v>1</v>
      </c>
      <c r="D936" s="2"/>
      <c r="E936" s="2"/>
      <c r="F936" s="2">
        <f t="shared" si="12"/>
        <v>1</v>
      </c>
      <c r="G936" s="2">
        <f t="shared" ref="G936:G937" si="13">SUMIF(D839,"Grande",F839)</f>
        <v>0</v>
      </c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 t="s">
        <v>746</v>
      </c>
      <c r="B937" s="2"/>
      <c r="C937" s="2">
        <f t="shared" si="11"/>
        <v>1</v>
      </c>
      <c r="D937" s="2"/>
      <c r="E937" s="2"/>
      <c r="F937" s="2">
        <f t="shared" si="12"/>
        <v>1</v>
      </c>
      <c r="G937" s="2">
        <f t="shared" si="13"/>
        <v>0</v>
      </c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 t="s">
        <v>747</v>
      </c>
      <c r="B938" s="2"/>
      <c r="C938" s="2">
        <f>G844</f>
        <v>4</v>
      </c>
      <c r="D938" s="2"/>
      <c r="E938" s="2"/>
      <c r="F938" s="2">
        <f t="shared" si="12"/>
        <v>4</v>
      </c>
      <c r="G938" s="2">
        <f>SUMIF(D841:D844,"Grande",F841:F844)</f>
        <v>0</v>
      </c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 t="s">
        <v>750</v>
      </c>
      <c r="B939" s="2"/>
      <c r="C939" s="2">
        <f>G847</f>
        <v>4</v>
      </c>
      <c r="D939" s="2"/>
      <c r="E939" s="2"/>
      <c r="F939" s="2">
        <f t="shared" si="12"/>
        <v>3</v>
      </c>
      <c r="G939" s="2">
        <v>1.0</v>
      </c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 t="s">
        <v>752</v>
      </c>
      <c r="B940" s="2"/>
      <c r="C940" s="2">
        <f>G851</f>
        <v>6</v>
      </c>
      <c r="D940" s="2"/>
      <c r="E940" s="2"/>
      <c r="F940" s="2">
        <f t="shared" si="12"/>
        <v>6</v>
      </c>
      <c r="G940" s="2">
        <f>SUMIF(D848:D851,"Grande",F848:F851)</f>
        <v>0</v>
      </c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 t="s">
        <v>757</v>
      </c>
      <c r="B941" s="2"/>
      <c r="C941" s="2">
        <f>G858</f>
        <v>8</v>
      </c>
      <c r="D941" s="2"/>
      <c r="E941" s="2"/>
      <c r="F941" s="2">
        <f t="shared" si="12"/>
        <v>0</v>
      </c>
      <c r="G941" s="2">
        <f>SUMIF(D852:D858,"Grande",F852:F858)</f>
        <v>8</v>
      </c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 t="s">
        <v>763</v>
      </c>
      <c r="B942" s="2"/>
      <c r="C942" s="2">
        <f>G863</f>
        <v>5</v>
      </c>
      <c r="D942" s="2"/>
      <c r="E942" s="2"/>
      <c r="F942" s="2">
        <f t="shared" si="12"/>
        <v>4</v>
      </c>
      <c r="G942" s="2">
        <f>SUMIF(D861:D863,"Grande",F861:F863)</f>
        <v>1</v>
      </c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 t="s">
        <v>814</v>
      </c>
      <c r="B943" s="2"/>
      <c r="C943" s="2">
        <f>G869</f>
        <v>8</v>
      </c>
      <c r="D943" s="2"/>
      <c r="E943" s="2"/>
      <c r="F943" s="2">
        <f t="shared" si="12"/>
        <v>0</v>
      </c>
      <c r="G943" s="2">
        <f>SUMIF(D864:D869,"Grande",F864:F869)</f>
        <v>8</v>
      </c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 t="s">
        <v>815</v>
      </c>
      <c r="B944" s="2"/>
      <c r="C944" s="2">
        <f>G872</f>
        <v>4</v>
      </c>
      <c r="D944" s="2"/>
      <c r="E944" s="2"/>
      <c r="F944" s="2">
        <f t="shared" si="12"/>
        <v>4</v>
      </c>
      <c r="G944" s="2">
        <f>SUMIF(D870:D872,"Grande",F870:F872)</f>
        <v>0</v>
      </c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 t="s">
        <v>779</v>
      </c>
      <c r="B945" s="2"/>
      <c r="C945" s="2">
        <f t="shared" ref="C945:C946" si="14">G874</f>
        <v>2</v>
      </c>
      <c r="D945" s="2"/>
      <c r="E945" s="2"/>
      <c r="F945" s="2">
        <f t="shared" si="12"/>
        <v>0</v>
      </c>
      <c r="G945" s="2">
        <f>SUMIF(D873:D874,"Grande",F873:F874)</f>
        <v>2</v>
      </c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8" t="s">
        <v>782</v>
      </c>
      <c r="B946" s="2"/>
      <c r="C946" s="2">
        <f t="shared" si="14"/>
        <v>1</v>
      </c>
      <c r="D946" s="2"/>
      <c r="E946" s="2"/>
      <c r="F946" s="2"/>
      <c r="G946" s="9">
        <v>1.0</v>
      </c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 t="s">
        <v>784</v>
      </c>
      <c r="B947" s="2"/>
      <c r="C947" s="2">
        <f>G878</f>
        <v>3</v>
      </c>
      <c r="D947" s="2"/>
      <c r="E947" s="2"/>
      <c r="F947" s="2">
        <f t="shared" ref="F947:F948" si="15">+C947-G947</f>
        <v>3</v>
      </c>
      <c r="G947" s="2">
        <f>SUMIF(D876:D878,"Grande",F876:F878)</f>
        <v>0</v>
      </c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 t="s">
        <v>788</v>
      </c>
      <c r="B948" s="2"/>
      <c r="C948" s="2">
        <f t="shared" ref="C948:C949" si="16">G886</f>
        <v>8</v>
      </c>
      <c r="D948" s="2"/>
      <c r="E948" s="2"/>
      <c r="F948" s="2">
        <f t="shared" si="15"/>
        <v>1</v>
      </c>
      <c r="G948" s="2">
        <f>SUMIF(D879:D886,"Grande",F879:F886)</f>
        <v>7</v>
      </c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 t="s">
        <v>797</v>
      </c>
      <c r="B949" s="2"/>
      <c r="C949" s="2">
        <f t="shared" si="16"/>
        <v>1</v>
      </c>
      <c r="D949" s="2"/>
      <c r="E949" s="2"/>
      <c r="F949" s="2">
        <v>0.0</v>
      </c>
      <c r="G949" s="2">
        <v>1.0</v>
      </c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8" t="s">
        <v>799</v>
      </c>
      <c r="B950" s="2"/>
      <c r="C950" s="2">
        <f>G890</f>
        <v>3</v>
      </c>
      <c r="D950" s="2"/>
      <c r="E950" s="2"/>
      <c r="F950" s="2"/>
      <c r="G950" s="2">
        <f>SUMIF(D888:D890,"Grande",F888:F890)</f>
        <v>3</v>
      </c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 t="s">
        <v>803</v>
      </c>
      <c r="B951" s="2"/>
      <c r="C951" s="2">
        <f t="shared" ref="C951:C952" si="17">G894</f>
        <v>4</v>
      </c>
      <c r="D951" s="2"/>
      <c r="E951" s="2"/>
      <c r="F951" s="2">
        <f t="shared" ref="F951:F952" si="18">+C951-G951</f>
        <v>4</v>
      </c>
      <c r="G951" s="2">
        <f>SUMIF(D891:D895,"Grande",F891:F895)</f>
        <v>0</v>
      </c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 t="s">
        <v>806</v>
      </c>
      <c r="B952" s="2"/>
      <c r="C952" s="2">
        <f t="shared" si="17"/>
        <v>1</v>
      </c>
      <c r="D952" s="2"/>
      <c r="E952" s="2"/>
      <c r="F952" s="2">
        <f t="shared" si="18"/>
        <v>1</v>
      </c>
      <c r="G952" s="2">
        <f>SUMIF(D896,"Grande",F896)</f>
        <v>0</v>
      </c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2"/>
      <c r="D953" s="22">
        <f>COUNT(C902:C952)</f>
        <v>51</v>
      </c>
      <c r="E953" s="22">
        <f>B896</f>
        <v>493</v>
      </c>
      <c r="F953" s="22">
        <f t="shared" ref="F953:G953" si="19">SUM(F902:F952)</f>
        <v>518</v>
      </c>
      <c r="G953" s="22">
        <f t="shared" si="19"/>
        <v>534</v>
      </c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22">
        <f>SUM(C902:C952)</f>
        <v>1052</v>
      </c>
      <c r="D954" s="2"/>
      <c r="E954" s="2"/>
      <c r="F954" s="2"/>
      <c r="G954" s="22">
        <f>+F953+G953</f>
        <v>1052</v>
      </c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2"/>
      <c r="D955" s="2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2"/>
      <c r="D956" s="2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3"/>
      <c r="B957" s="3"/>
      <c r="C957" s="3"/>
      <c r="D957" s="3"/>
      <c r="E957" s="3"/>
      <c r="F957" s="3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2"/>
      <c r="D958" s="2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2"/>
      <c r="D959" s="2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2"/>
      <c r="D960" s="2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2"/>
      <c r="D961" s="2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2"/>
      <c r="D962" s="2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2"/>
      <c r="D963" s="2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2"/>
      <c r="D964" s="2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2"/>
      <c r="D965" s="2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2"/>
      <c r="D966" s="2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2"/>
      <c r="D967" s="2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2"/>
      <c r="D968" s="2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2"/>
      <c r="D969" s="2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4"/>
      <c r="D970" s="2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2"/>
      <c r="D971" s="2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2"/>
      <c r="D972" s="2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2"/>
      <c r="D973" s="2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2"/>
      <c r="D974" s="2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2"/>
      <c r="D975" s="2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2"/>
      <c r="D976" s="2"/>
      <c r="E976" s="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2"/>
      <c r="D977" s="2"/>
      <c r="E977" s="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2"/>
      <c r="D978" s="2"/>
      <c r="E978" s="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2"/>
      <c r="D979" s="2"/>
      <c r="E979" s="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2"/>
      <c r="D980" s="2"/>
      <c r="E980" s="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2"/>
      <c r="D981" s="2"/>
      <c r="E981" s="2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2"/>
      <c r="D982" s="2"/>
      <c r="E982" s="2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2"/>
      <c r="D983" s="2"/>
      <c r="E983" s="2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2"/>
      <c r="D984" s="2"/>
      <c r="E984" s="2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2"/>
      <c r="D985" s="2"/>
      <c r="E985" s="2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2"/>
      <c r="D986" s="2"/>
      <c r="E986" s="2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2"/>
      <c r="D987" s="2"/>
      <c r="E987" s="2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2"/>
      <c r="D988" s="2"/>
      <c r="E988" s="2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2"/>
      <c r="D989" s="2"/>
      <c r="E989" s="2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2"/>
      <c r="D990" s="2"/>
      <c r="E990" s="2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2"/>
      <c r="D991" s="2"/>
      <c r="E991" s="2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2"/>
      <c r="D992" s="2"/>
      <c r="E992" s="2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2"/>
      <c r="D993" s="2"/>
      <c r="E993" s="2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2"/>
      <c r="D994" s="2"/>
      <c r="E994" s="2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2"/>
      <c r="D995" s="2"/>
      <c r="E995" s="2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2"/>
      <c r="D996" s="2"/>
      <c r="E996" s="2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2"/>
      <c r="D997" s="2"/>
      <c r="E997" s="2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2"/>
      <c r="D998" s="2"/>
      <c r="E998" s="2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2"/>
      <c r="D999" s="2"/>
      <c r="E999" s="2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2"/>
      <c r="D1000" s="2"/>
      <c r="E1000" s="2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2"/>
      <c r="C1001" s="2"/>
      <c r="D1001" s="2"/>
      <c r="E1001" s="2"/>
      <c r="F1001" s="2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2"/>
      <c r="C1002" s="2"/>
      <c r="D1002" s="2"/>
      <c r="E1002" s="2"/>
      <c r="F1002" s="2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2"/>
      <c r="C1003" s="2"/>
      <c r="D1003" s="2"/>
      <c r="E1003" s="2"/>
      <c r="F1003" s="2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2"/>
      <c r="C1004" s="2"/>
      <c r="D1004" s="2"/>
      <c r="E1004" s="2"/>
      <c r="F1004" s="2"/>
      <c r="G1004" s="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2"/>
      <c r="C1005" s="2"/>
      <c r="D1005" s="2"/>
      <c r="E1005" s="2"/>
      <c r="F1005" s="2"/>
      <c r="G1005" s="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2"/>
      <c r="C1006" s="2"/>
      <c r="D1006" s="2"/>
      <c r="E1006" s="2"/>
      <c r="F1006" s="2"/>
      <c r="G1006" s="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>
      <c r="A1007" s="1"/>
      <c r="B1007" s="2"/>
      <c r="C1007" s="2"/>
      <c r="D1007" s="2"/>
      <c r="E1007" s="2"/>
      <c r="F1007" s="2"/>
      <c r="G1007" s="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>
      <c r="A1008" s="1"/>
      <c r="B1008" s="2"/>
      <c r="C1008" s="2"/>
      <c r="D1008" s="2"/>
      <c r="E1008" s="2"/>
      <c r="F1008" s="2"/>
      <c r="G1008" s="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75" customHeight="1">
      <c r="A1009" s="1"/>
      <c r="B1009" s="2"/>
      <c r="C1009" s="2"/>
      <c r="D1009" s="2"/>
      <c r="E1009" s="2"/>
      <c r="F1009" s="2"/>
      <c r="G1009" s="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75" customHeight="1">
      <c r="A1010" s="1"/>
      <c r="B1010" s="2"/>
      <c r="C1010" s="2"/>
      <c r="D1010" s="2"/>
      <c r="E1010" s="2"/>
      <c r="F1010" s="2"/>
      <c r="G1010" s="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2.75" customHeight="1">
      <c r="A1011" s="1"/>
      <c r="B1011" s="2"/>
      <c r="C1011" s="2"/>
      <c r="D1011" s="2"/>
      <c r="E1011" s="2"/>
      <c r="F1011" s="2"/>
      <c r="G1011" s="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2.75" customHeight="1">
      <c r="A1012" s="1"/>
      <c r="B1012" s="2"/>
      <c r="C1012" s="2"/>
      <c r="D1012" s="2"/>
      <c r="E1012" s="2"/>
      <c r="F1012" s="2"/>
      <c r="G1012" s="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2.75" customHeight="1">
      <c r="A1013" s="1"/>
      <c r="B1013" s="2"/>
      <c r="C1013" s="2"/>
      <c r="D1013" s="2"/>
      <c r="E1013" s="2"/>
      <c r="F1013" s="2"/>
      <c r="G1013" s="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2.75" customHeight="1">
      <c r="A1014" s="1"/>
      <c r="B1014" s="2"/>
      <c r="C1014" s="2"/>
      <c r="D1014" s="2"/>
      <c r="E1014" s="2"/>
      <c r="F1014" s="2"/>
      <c r="G1014" s="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2.75" customHeight="1">
      <c r="A1015" s="1"/>
      <c r="B1015" s="2"/>
      <c r="C1015" s="2"/>
      <c r="D1015" s="2"/>
      <c r="E1015" s="2"/>
      <c r="F1015" s="2"/>
      <c r="G1015" s="2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2.75" customHeight="1">
      <c r="A1016" s="1"/>
      <c r="B1016" s="2"/>
      <c r="C1016" s="2"/>
      <c r="D1016" s="2"/>
      <c r="E1016" s="2"/>
      <c r="F1016" s="2"/>
      <c r="G1016" s="2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2.75" customHeight="1">
      <c r="A1017" s="1"/>
      <c r="B1017" s="2"/>
      <c r="C1017" s="2"/>
      <c r="D1017" s="2"/>
      <c r="E1017" s="2"/>
      <c r="F1017" s="2"/>
      <c r="G1017" s="2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2.75" customHeight="1">
      <c r="A1018" s="1"/>
      <c r="B1018" s="2"/>
      <c r="C1018" s="2"/>
      <c r="D1018" s="2"/>
      <c r="E1018" s="2"/>
      <c r="F1018" s="2"/>
      <c r="G1018" s="2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2.75" customHeight="1">
      <c r="A1019" s="1"/>
      <c r="B1019" s="2"/>
      <c r="C1019" s="2"/>
      <c r="D1019" s="2"/>
      <c r="E1019" s="2"/>
      <c r="F1019" s="2"/>
      <c r="G1019" s="2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2.75" customHeight="1">
      <c r="A1020" s="1"/>
      <c r="B1020" s="2"/>
      <c r="C1020" s="2"/>
      <c r="D1020" s="2"/>
      <c r="E1020" s="2"/>
      <c r="F1020" s="2"/>
      <c r="G1020" s="2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2.75" customHeight="1">
      <c r="A1021" s="1"/>
      <c r="B1021" s="2"/>
      <c r="C1021" s="2"/>
      <c r="D1021" s="2"/>
      <c r="E1021" s="2"/>
      <c r="F1021" s="2"/>
      <c r="G1021" s="2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2.75" customHeight="1">
      <c r="A1022" s="1"/>
      <c r="B1022" s="2"/>
      <c r="C1022" s="2"/>
      <c r="D1022" s="2"/>
      <c r="E1022" s="2"/>
      <c r="F1022" s="2"/>
      <c r="G1022" s="2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2.75" customHeight="1">
      <c r="A1023" s="1"/>
      <c r="B1023" s="2"/>
      <c r="C1023" s="2"/>
      <c r="D1023" s="2"/>
      <c r="E1023" s="2"/>
      <c r="F1023" s="2"/>
      <c r="G1023" s="2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2.75" customHeight="1">
      <c r="A1024" s="1"/>
      <c r="B1024" s="2"/>
      <c r="C1024" s="2"/>
      <c r="D1024" s="2"/>
      <c r="E1024" s="2"/>
      <c r="F1024" s="2"/>
      <c r="G1024" s="2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2.75" customHeight="1">
      <c r="A1025" s="1"/>
      <c r="B1025" s="2"/>
      <c r="C1025" s="2"/>
      <c r="D1025" s="2"/>
      <c r="E1025" s="2"/>
      <c r="F1025" s="2"/>
      <c r="G1025" s="2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2.75" customHeight="1">
      <c r="A1026" s="1"/>
      <c r="B1026" s="2"/>
      <c r="C1026" s="2"/>
      <c r="D1026" s="2"/>
      <c r="E1026" s="2"/>
      <c r="F1026" s="2"/>
      <c r="G1026" s="2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2.75" customHeight="1">
      <c r="A1027" s="1"/>
      <c r="B1027" s="2"/>
      <c r="C1027" s="2"/>
      <c r="D1027" s="2"/>
      <c r="E1027" s="2"/>
      <c r="F1027" s="2"/>
      <c r="G1027" s="2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2.75" customHeight="1">
      <c r="A1028" s="1"/>
      <c r="B1028" s="2"/>
      <c r="C1028" s="2"/>
      <c r="D1028" s="2"/>
      <c r="E1028" s="2"/>
      <c r="F1028" s="2"/>
      <c r="G1028" s="2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2.75" customHeight="1">
      <c r="A1029" s="1"/>
      <c r="B1029" s="2"/>
      <c r="C1029" s="2"/>
      <c r="D1029" s="2"/>
      <c r="E1029" s="2"/>
      <c r="F1029" s="2"/>
      <c r="G1029" s="2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</sheetData>
  <printOptions/>
  <pageMargins bottom="0.75" footer="0.0" header="0.0" left="0.7" right="0.7" top="0.75"/>
  <pageSetup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4.25"/>
    <col customWidth="1" min="3" max="3" width="17.13"/>
    <col customWidth="1" min="4" max="4" width="12.25"/>
    <col customWidth="1" min="5" max="5" width="15.63"/>
    <col customWidth="1" min="6" max="6" width="12.0"/>
    <col customWidth="1" min="7" max="7" width="13.0"/>
    <col customWidth="1" min="8" max="8" width="14.38"/>
    <col customWidth="1" min="9" max="26" width="10.0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5.5" customHeight="1">
      <c r="A3" s="3" t="s">
        <v>1</v>
      </c>
      <c r="B3" s="3"/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5" t="s">
        <v>7</v>
      </c>
      <c r="B4" s="3">
        <v>1.0</v>
      </c>
      <c r="C4" s="3"/>
      <c r="D4" s="3"/>
      <c r="E4" s="2" t="s">
        <v>8</v>
      </c>
      <c r="F4" s="3">
        <v>1.0</v>
      </c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5" t="s">
        <v>13</v>
      </c>
      <c r="B5" s="3">
        <v>1.0</v>
      </c>
      <c r="C5" s="3"/>
      <c r="D5" s="2"/>
      <c r="E5" s="2" t="s">
        <v>8</v>
      </c>
      <c r="F5" s="3">
        <v>1.0</v>
      </c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 t="s">
        <v>19</v>
      </c>
      <c r="B6" s="3">
        <v>1.0</v>
      </c>
      <c r="C6" s="2"/>
      <c r="D6" s="2"/>
      <c r="E6" s="2" t="s">
        <v>8</v>
      </c>
      <c r="F6" s="2">
        <v>2.0</v>
      </c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 t="s">
        <v>19</v>
      </c>
      <c r="B7" s="2"/>
      <c r="C7" s="2" t="s">
        <v>20</v>
      </c>
      <c r="D7" s="2"/>
      <c r="E7" s="2" t="s">
        <v>8</v>
      </c>
      <c r="F7" s="2">
        <v>1.0</v>
      </c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 t="s">
        <v>30</v>
      </c>
      <c r="B8" s="3">
        <v>1.0</v>
      </c>
      <c r="C8" s="2"/>
      <c r="D8" s="2"/>
      <c r="E8" s="2" t="s">
        <v>8</v>
      </c>
      <c r="F8" s="2">
        <v>1.0</v>
      </c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 t="s">
        <v>33</v>
      </c>
      <c r="B9" s="3">
        <v>1.0</v>
      </c>
      <c r="C9" s="2"/>
      <c r="D9" s="2"/>
      <c r="E9" s="2" t="s">
        <v>8</v>
      </c>
      <c r="F9" s="2">
        <v>2.0</v>
      </c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 t="s">
        <v>37</v>
      </c>
      <c r="B10" s="3">
        <v>1.0</v>
      </c>
      <c r="C10" s="2"/>
      <c r="D10" s="2"/>
      <c r="E10" s="2" t="s">
        <v>8</v>
      </c>
      <c r="F10" s="2">
        <v>1.0</v>
      </c>
      <c r="G10" s="2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" t="s">
        <v>42</v>
      </c>
      <c r="B11" s="2">
        <v>1.0</v>
      </c>
      <c r="C11" s="2"/>
      <c r="D11" s="2"/>
      <c r="E11" s="2" t="s">
        <v>8</v>
      </c>
      <c r="F11" s="2">
        <v>1.0</v>
      </c>
      <c r="G11" s="2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" t="s">
        <v>43</v>
      </c>
      <c r="B12" s="2">
        <v>1.0</v>
      </c>
      <c r="C12" s="2"/>
      <c r="D12" s="2"/>
      <c r="E12" s="2" t="s">
        <v>8</v>
      </c>
      <c r="F12" s="2">
        <v>1.0</v>
      </c>
      <c r="G12" s="2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" t="s">
        <v>43</v>
      </c>
      <c r="B13" s="2"/>
      <c r="C13" s="2" t="s">
        <v>44</v>
      </c>
      <c r="D13" s="2"/>
      <c r="E13" s="2" t="s">
        <v>8</v>
      </c>
      <c r="F13" s="2">
        <v>1.0</v>
      </c>
      <c r="G13" s="2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" t="s">
        <v>60</v>
      </c>
      <c r="B14" s="2">
        <v>1.0</v>
      </c>
      <c r="C14" s="2"/>
      <c r="D14" s="2"/>
      <c r="E14" s="2" t="s">
        <v>8</v>
      </c>
      <c r="F14" s="2">
        <v>1.0</v>
      </c>
      <c r="G14" s="2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" t="s">
        <v>61</v>
      </c>
      <c r="B15" s="2">
        <v>1.0</v>
      </c>
      <c r="C15" s="2" t="s">
        <v>31</v>
      </c>
      <c r="D15" s="2"/>
      <c r="E15" s="2" t="s">
        <v>8</v>
      </c>
      <c r="F15" s="2">
        <v>1.0</v>
      </c>
      <c r="G15" s="2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" t="s">
        <v>64</v>
      </c>
      <c r="B16" s="2">
        <v>1.0</v>
      </c>
      <c r="C16" s="2"/>
      <c r="D16" s="2"/>
      <c r="E16" s="2" t="s">
        <v>8</v>
      </c>
      <c r="F16" s="2">
        <v>1.0</v>
      </c>
      <c r="G16" s="2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" t="s">
        <v>65</v>
      </c>
      <c r="B17" s="2">
        <v>1.0</v>
      </c>
      <c r="C17" s="2"/>
      <c r="D17" s="2"/>
      <c r="E17" s="2" t="s">
        <v>8</v>
      </c>
      <c r="F17" s="2">
        <v>1.0</v>
      </c>
      <c r="G17" s="2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" t="s">
        <v>68</v>
      </c>
      <c r="B18" s="2">
        <v>1.0</v>
      </c>
      <c r="C18" s="2"/>
      <c r="D18" s="2"/>
      <c r="E18" s="2" t="s">
        <v>8</v>
      </c>
      <c r="F18" s="2">
        <v>1.0</v>
      </c>
      <c r="G18" s="2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 t="s">
        <v>68</v>
      </c>
      <c r="B19" s="2"/>
      <c r="C19" s="2" t="s">
        <v>31</v>
      </c>
      <c r="D19" s="2"/>
      <c r="E19" s="2" t="s">
        <v>8</v>
      </c>
      <c r="F19" s="2">
        <v>1.0</v>
      </c>
      <c r="G19" s="2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 t="s">
        <v>68</v>
      </c>
      <c r="B20" s="2"/>
      <c r="C20" s="2" t="s">
        <v>69</v>
      </c>
      <c r="D20" s="2"/>
      <c r="E20" s="2" t="s">
        <v>8</v>
      </c>
      <c r="F20" s="2">
        <v>1.0</v>
      </c>
      <c r="G20" s="2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 t="s">
        <v>72</v>
      </c>
      <c r="B21" s="2">
        <v>1.0</v>
      </c>
      <c r="C21" s="2"/>
      <c r="D21" s="2"/>
      <c r="E21" s="2" t="s">
        <v>8</v>
      </c>
      <c r="F21" s="2">
        <v>1.0</v>
      </c>
      <c r="G21" s="2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 t="s">
        <v>82</v>
      </c>
      <c r="B22" s="2">
        <v>1.0</v>
      </c>
      <c r="C22" s="2"/>
      <c r="D22" s="2"/>
      <c r="E22" s="2" t="s">
        <v>8</v>
      </c>
      <c r="F22" s="2">
        <v>1.0</v>
      </c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 t="s">
        <v>86</v>
      </c>
      <c r="B23" s="2">
        <v>1.0</v>
      </c>
      <c r="C23" s="2"/>
      <c r="D23" s="2"/>
      <c r="E23" s="2" t="s">
        <v>8</v>
      </c>
      <c r="F23" s="2">
        <v>1.0</v>
      </c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 t="s">
        <v>93</v>
      </c>
      <c r="B24" s="2">
        <v>1.0</v>
      </c>
      <c r="C24" s="2"/>
      <c r="D24" s="2"/>
      <c r="E24" s="2" t="s">
        <v>8</v>
      </c>
      <c r="F24" s="2">
        <v>1.0</v>
      </c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 t="s">
        <v>94</v>
      </c>
      <c r="B25" s="2">
        <v>1.0</v>
      </c>
      <c r="C25" s="2"/>
      <c r="D25" s="2"/>
      <c r="E25" s="2" t="s">
        <v>8</v>
      </c>
      <c r="F25" s="2">
        <v>1.0</v>
      </c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 t="s">
        <v>99</v>
      </c>
      <c r="B26" s="2">
        <v>1.0</v>
      </c>
      <c r="C26" s="2"/>
      <c r="D26" s="2"/>
      <c r="E26" s="2" t="s">
        <v>8</v>
      </c>
      <c r="F26" s="2">
        <v>2.0</v>
      </c>
      <c r="G26" s="2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 t="s">
        <v>105</v>
      </c>
      <c r="B27" s="2">
        <v>1.0</v>
      </c>
      <c r="C27" s="2"/>
      <c r="D27" s="2"/>
      <c r="E27" s="2" t="s">
        <v>8</v>
      </c>
      <c r="F27" s="2">
        <v>1.0</v>
      </c>
      <c r="G27" s="2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 t="s">
        <v>107</v>
      </c>
      <c r="B28" s="2">
        <v>1.0</v>
      </c>
      <c r="C28" s="2"/>
      <c r="D28" s="2"/>
      <c r="E28" s="2" t="s">
        <v>8</v>
      </c>
      <c r="F28" s="2">
        <v>1.0</v>
      </c>
      <c r="G28" s="2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 t="s">
        <v>112</v>
      </c>
      <c r="B29" s="2">
        <v>1.0</v>
      </c>
      <c r="C29" s="2"/>
      <c r="D29" s="2"/>
      <c r="E29" s="2" t="s">
        <v>8</v>
      </c>
      <c r="F29" s="2">
        <v>1.0</v>
      </c>
      <c r="G29" s="2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 t="s">
        <v>113</v>
      </c>
      <c r="B30" s="2">
        <v>1.0</v>
      </c>
      <c r="C30" s="2"/>
      <c r="D30" s="2"/>
      <c r="E30" s="2" t="s">
        <v>8</v>
      </c>
      <c r="F30" s="2">
        <v>1.0</v>
      </c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 t="s">
        <v>118</v>
      </c>
      <c r="B31" s="2">
        <v>1.0</v>
      </c>
      <c r="C31" s="2"/>
      <c r="D31" s="2"/>
      <c r="E31" s="2" t="s">
        <v>8</v>
      </c>
      <c r="F31" s="2">
        <v>1.0</v>
      </c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 t="s">
        <v>122</v>
      </c>
      <c r="B32" s="2">
        <v>1.0</v>
      </c>
      <c r="C32" s="2"/>
      <c r="D32" s="2"/>
      <c r="E32" s="2" t="s">
        <v>8</v>
      </c>
      <c r="F32" s="2">
        <v>2.0</v>
      </c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 t="s">
        <v>128</v>
      </c>
      <c r="B33" s="2">
        <v>1.0</v>
      </c>
      <c r="C33" s="2"/>
      <c r="D33" s="2"/>
      <c r="E33" s="2" t="s">
        <v>8</v>
      </c>
      <c r="F33" s="2">
        <v>2.0</v>
      </c>
      <c r="G33" s="2">
        <f>SUM(F4:F33)</f>
        <v>35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0" t="s">
        <v>130</v>
      </c>
      <c r="B34" s="9">
        <v>1.0</v>
      </c>
      <c r="C34" s="2"/>
      <c r="D34" s="2"/>
      <c r="E34" s="11" t="s">
        <v>131</v>
      </c>
      <c r="F34" s="9">
        <v>1.0</v>
      </c>
      <c r="G34" s="9">
        <v>1.0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 t="s">
        <v>135</v>
      </c>
      <c r="B35" s="2">
        <v>1.0</v>
      </c>
      <c r="C35" s="2"/>
      <c r="D35" s="2"/>
      <c r="E35" s="2" t="s">
        <v>132</v>
      </c>
      <c r="F35" s="2">
        <v>2.0</v>
      </c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 t="s">
        <v>160</v>
      </c>
      <c r="B36" s="2">
        <v>1.0</v>
      </c>
      <c r="C36" s="2"/>
      <c r="D36" s="2"/>
      <c r="E36" s="2" t="s">
        <v>132</v>
      </c>
      <c r="F36" s="2">
        <v>3.0</v>
      </c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 t="s">
        <v>168</v>
      </c>
      <c r="B37" s="2">
        <v>1.0</v>
      </c>
      <c r="C37" s="2"/>
      <c r="D37" s="2"/>
      <c r="E37" s="2" t="s">
        <v>132</v>
      </c>
      <c r="F37" s="2">
        <v>4.0</v>
      </c>
      <c r="G37" s="2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 t="s">
        <v>169</v>
      </c>
      <c r="B38" s="2">
        <v>1.0</v>
      </c>
      <c r="C38" s="2"/>
      <c r="D38" s="2"/>
      <c r="E38" s="2" t="s">
        <v>132</v>
      </c>
      <c r="F38" s="2">
        <v>1.0</v>
      </c>
      <c r="G38" s="2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 t="s">
        <v>170</v>
      </c>
      <c r="B39" s="2">
        <v>1.0</v>
      </c>
      <c r="C39" s="2"/>
      <c r="D39" s="2"/>
      <c r="E39" s="2" t="s">
        <v>132</v>
      </c>
      <c r="F39" s="2">
        <v>1.0</v>
      </c>
      <c r="G39" s="2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 t="s">
        <v>179</v>
      </c>
      <c r="B40" s="2">
        <v>1.0</v>
      </c>
      <c r="C40" s="2"/>
      <c r="D40" s="2"/>
      <c r="E40" s="2" t="s">
        <v>132</v>
      </c>
      <c r="F40" s="2">
        <v>1.0</v>
      </c>
      <c r="G40" s="2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 t="s">
        <v>186</v>
      </c>
      <c r="B41" s="2">
        <v>1.0</v>
      </c>
      <c r="C41" s="2"/>
      <c r="D41" s="2"/>
      <c r="E41" s="2" t="s">
        <v>132</v>
      </c>
      <c r="F41" s="2">
        <v>3.0</v>
      </c>
      <c r="G41" s="2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 t="s">
        <v>186</v>
      </c>
      <c r="B42" s="2"/>
      <c r="C42" s="2" t="s">
        <v>35</v>
      </c>
      <c r="D42" s="2"/>
      <c r="E42" s="2" t="s">
        <v>132</v>
      </c>
      <c r="F42" s="2">
        <v>1.0</v>
      </c>
      <c r="G42" s="2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 t="s">
        <v>10</v>
      </c>
      <c r="B43" s="2">
        <v>1.0</v>
      </c>
      <c r="C43" s="2"/>
      <c r="D43" s="2"/>
      <c r="E43" s="2" t="s">
        <v>132</v>
      </c>
      <c r="F43" s="2">
        <v>1.0</v>
      </c>
      <c r="G43" s="2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 t="s">
        <v>195</v>
      </c>
      <c r="B44" s="2">
        <v>1.0</v>
      </c>
      <c r="C44" s="2"/>
      <c r="D44" s="2"/>
      <c r="E44" s="2" t="s">
        <v>132</v>
      </c>
      <c r="F44" s="2">
        <v>1.0</v>
      </c>
      <c r="G44" s="2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 t="s">
        <v>200</v>
      </c>
      <c r="B45" s="2">
        <v>1.0</v>
      </c>
      <c r="C45" s="2"/>
      <c r="D45" s="2"/>
      <c r="E45" s="2" t="s">
        <v>132</v>
      </c>
      <c r="F45" s="2">
        <v>2.0</v>
      </c>
      <c r="G45" s="2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 t="s">
        <v>206</v>
      </c>
      <c r="B46" s="2">
        <v>1.0</v>
      </c>
      <c r="C46" s="2"/>
      <c r="D46" s="2"/>
      <c r="E46" s="2" t="s">
        <v>132</v>
      </c>
      <c r="F46" s="2">
        <v>1.0</v>
      </c>
      <c r="G46" s="2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 t="s">
        <v>207</v>
      </c>
      <c r="B47" s="2">
        <v>1.0</v>
      </c>
      <c r="C47" s="2"/>
      <c r="D47" s="2"/>
      <c r="E47" s="2" t="s">
        <v>132</v>
      </c>
      <c r="F47" s="2">
        <v>1.0</v>
      </c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 t="s">
        <v>212</v>
      </c>
      <c r="B48" s="2"/>
      <c r="C48" s="2" t="s">
        <v>221</v>
      </c>
      <c r="D48" s="2"/>
      <c r="E48" s="2" t="s">
        <v>132</v>
      </c>
      <c r="F48" s="2">
        <v>1.0</v>
      </c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 t="s">
        <v>242</v>
      </c>
      <c r="B49" s="2">
        <v>1.0</v>
      </c>
      <c r="C49" s="2"/>
      <c r="D49" s="2"/>
      <c r="E49" s="2" t="s">
        <v>132</v>
      </c>
      <c r="F49" s="2">
        <v>10.0</v>
      </c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 t="s">
        <v>242</v>
      </c>
      <c r="B50" s="2"/>
      <c r="C50" s="2" t="s">
        <v>243</v>
      </c>
      <c r="D50" s="2"/>
      <c r="E50" s="2" t="s">
        <v>132</v>
      </c>
      <c r="F50" s="2">
        <v>1.0</v>
      </c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 t="s">
        <v>242</v>
      </c>
      <c r="B51" s="2"/>
      <c r="C51" s="2" t="s">
        <v>244</v>
      </c>
      <c r="D51" s="2"/>
      <c r="E51" s="2" t="s">
        <v>132</v>
      </c>
      <c r="F51" s="2">
        <v>1.0</v>
      </c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 t="s">
        <v>242</v>
      </c>
      <c r="B52" s="2"/>
      <c r="C52" s="2" t="s">
        <v>245</v>
      </c>
      <c r="D52" s="2"/>
      <c r="E52" s="2" t="s">
        <v>132</v>
      </c>
      <c r="F52" s="2">
        <v>1.0</v>
      </c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 t="s">
        <v>256</v>
      </c>
      <c r="B53" s="2">
        <v>1.0</v>
      </c>
      <c r="C53" s="2"/>
      <c r="D53" s="2"/>
      <c r="E53" s="2" t="s">
        <v>132</v>
      </c>
      <c r="F53" s="2">
        <v>2.0</v>
      </c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 t="s">
        <v>259</v>
      </c>
      <c r="B54" s="2">
        <v>1.0</v>
      </c>
      <c r="C54" s="2"/>
      <c r="D54" s="2"/>
      <c r="E54" s="2" t="s">
        <v>132</v>
      </c>
      <c r="F54" s="2">
        <v>2.0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 t="s">
        <v>260</v>
      </c>
      <c r="B55" s="2">
        <v>1.0</v>
      </c>
      <c r="C55" s="2"/>
      <c r="D55" s="2"/>
      <c r="E55" s="2" t="s">
        <v>132</v>
      </c>
      <c r="F55" s="2">
        <v>4.0</v>
      </c>
      <c r="G55" s="2">
        <f>SUM(F35:F55)</f>
        <v>44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 t="s">
        <v>274</v>
      </c>
      <c r="B56" s="2">
        <v>1.0</v>
      </c>
      <c r="C56" s="2"/>
      <c r="D56" s="2"/>
      <c r="E56" s="2" t="s">
        <v>275</v>
      </c>
      <c r="F56" s="2">
        <v>1.0</v>
      </c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 t="s">
        <v>276</v>
      </c>
      <c r="B57" s="2">
        <v>1.0</v>
      </c>
      <c r="C57" s="2"/>
      <c r="D57" s="2"/>
      <c r="E57" s="2" t="s">
        <v>275</v>
      </c>
      <c r="F57" s="2">
        <v>1.0</v>
      </c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 t="s">
        <v>277</v>
      </c>
      <c r="B58" s="2">
        <v>1.0</v>
      </c>
      <c r="C58" s="2"/>
      <c r="D58" s="2"/>
      <c r="E58" s="2" t="s">
        <v>275</v>
      </c>
      <c r="F58" s="2">
        <v>1.0</v>
      </c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 t="s">
        <v>279</v>
      </c>
      <c r="B59" s="2">
        <v>1.0</v>
      </c>
      <c r="C59" s="2"/>
      <c r="D59" s="2"/>
      <c r="E59" s="2" t="s">
        <v>275</v>
      </c>
      <c r="F59" s="2">
        <v>1.0</v>
      </c>
      <c r="G59" s="2">
        <f>SUM(F56:F59)</f>
        <v>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 t="s">
        <v>290</v>
      </c>
      <c r="B60" s="2">
        <v>1.0</v>
      </c>
      <c r="C60" s="2" t="s">
        <v>291</v>
      </c>
      <c r="D60" s="2"/>
      <c r="E60" s="2" t="s">
        <v>283</v>
      </c>
      <c r="F60" s="2">
        <v>1.0</v>
      </c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 t="s">
        <v>298</v>
      </c>
      <c r="B61" s="2">
        <v>1.0</v>
      </c>
      <c r="C61" s="2"/>
      <c r="D61" s="2"/>
      <c r="E61" s="2" t="s">
        <v>283</v>
      </c>
      <c r="F61" s="2">
        <v>1.0</v>
      </c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 t="s">
        <v>299</v>
      </c>
      <c r="B62" s="2">
        <v>1.0</v>
      </c>
      <c r="C62" s="2"/>
      <c r="D62" s="2"/>
      <c r="E62" s="2" t="s">
        <v>283</v>
      </c>
      <c r="F62" s="2">
        <v>3.0</v>
      </c>
      <c r="G62" s="2">
        <f>SUM(F60:F62)</f>
        <v>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 t="s">
        <v>301</v>
      </c>
      <c r="B63" s="2">
        <v>1.0</v>
      </c>
      <c r="C63" s="2"/>
      <c r="D63" s="2"/>
      <c r="E63" s="2" t="s">
        <v>302</v>
      </c>
      <c r="F63" s="2">
        <v>1.0</v>
      </c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 t="s">
        <v>303</v>
      </c>
      <c r="B64" s="2">
        <v>1.0</v>
      </c>
      <c r="C64" s="2"/>
      <c r="D64" s="2"/>
      <c r="E64" s="2" t="s">
        <v>302</v>
      </c>
      <c r="F64" s="2">
        <v>1.0</v>
      </c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 t="s">
        <v>304</v>
      </c>
      <c r="B65" s="2">
        <v>1.0</v>
      </c>
      <c r="C65" s="2"/>
      <c r="D65" s="2"/>
      <c r="E65" s="2" t="s">
        <v>302</v>
      </c>
      <c r="F65" s="2">
        <v>1.0</v>
      </c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 t="s">
        <v>305</v>
      </c>
      <c r="B66" s="2">
        <v>1.0</v>
      </c>
      <c r="C66" s="2"/>
      <c r="D66" s="2"/>
      <c r="E66" s="2" t="s">
        <v>302</v>
      </c>
      <c r="F66" s="2">
        <v>1.0</v>
      </c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 t="s">
        <v>306</v>
      </c>
      <c r="B67" s="2">
        <v>1.0</v>
      </c>
      <c r="C67" s="2"/>
      <c r="D67" s="2"/>
      <c r="E67" s="2" t="s">
        <v>302</v>
      </c>
      <c r="F67" s="2">
        <v>2.0</v>
      </c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 t="s">
        <v>306</v>
      </c>
      <c r="B68" s="2"/>
      <c r="C68" s="2" t="s">
        <v>115</v>
      </c>
      <c r="D68" s="2"/>
      <c r="E68" s="2" t="s">
        <v>302</v>
      </c>
      <c r="F68" s="2">
        <v>1.0</v>
      </c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 t="s">
        <v>306</v>
      </c>
      <c r="B69" s="2"/>
      <c r="C69" s="2" t="s">
        <v>307</v>
      </c>
      <c r="D69" s="2"/>
      <c r="E69" s="2" t="s">
        <v>302</v>
      </c>
      <c r="F69" s="2">
        <v>1.0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 t="s">
        <v>306</v>
      </c>
      <c r="B70" s="2"/>
      <c r="C70" s="2" t="s">
        <v>308</v>
      </c>
      <c r="D70" s="2"/>
      <c r="E70" s="2" t="s">
        <v>302</v>
      </c>
      <c r="F70" s="2">
        <v>1.0</v>
      </c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 t="s">
        <v>309</v>
      </c>
      <c r="B71" s="2">
        <v>1.0</v>
      </c>
      <c r="C71" s="2"/>
      <c r="D71" s="2"/>
      <c r="E71" s="2" t="s">
        <v>302</v>
      </c>
      <c r="F71" s="2">
        <v>1.0</v>
      </c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 t="s">
        <v>310</v>
      </c>
      <c r="B72" s="2">
        <v>1.0</v>
      </c>
      <c r="C72" s="2"/>
      <c r="D72" s="2"/>
      <c r="E72" s="2" t="s">
        <v>302</v>
      </c>
      <c r="F72" s="2">
        <v>1.0</v>
      </c>
      <c r="G72" s="2">
        <f>SUM(F63:F72)</f>
        <v>11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2">
        <v>1500.0</v>
      </c>
      <c r="B73" s="2">
        <v>1.0</v>
      </c>
      <c r="C73" s="2"/>
      <c r="D73" s="2"/>
      <c r="E73" s="2" t="s">
        <v>311</v>
      </c>
      <c r="F73" s="2">
        <v>1.0</v>
      </c>
      <c r="G73" s="2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2" t="s">
        <v>312</v>
      </c>
      <c r="B74" s="2">
        <v>1.0</v>
      </c>
      <c r="C74" s="2"/>
      <c r="D74" s="2"/>
      <c r="E74" s="2" t="s">
        <v>311</v>
      </c>
      <c r="F74" s="2">
        <v>1.0</v>
      </c>
      <c r="G74" s="2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 t="s">
        <v>313</v>
      </c>
      <c r="B75" s="2">
        <v>1.0</v>
      </c>
      <c r="C75" s="2"/>
      <c r="D75" s="2"/>
      <c r="E75" s="2" t="s">
        <v>311</v>
      </c>
      <c r="F75" s="2">
        <v>7.0</v>
      </c>
      <c r="G75" s="2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 t="s">
        <v>313</v>
      </c>
      <c r="B76" s="2"/>
      <c r="C76" s="2" t="s">
        <v>314</v>
      </c>
      <c r="D76" s="2"/>
      <c r="E76" s="2" t="s">
        <v>311</v>
      </c>
      <c r="F76" s="2">
        <v>1.0</v>
      </c>
      <c r="G76" s="2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 t="s">
        <v>313</v>
      </c>
      <c r="B77" s="2"/>
      <c r="C77" s="2" t="s">
        <v>315</v>
      </c>
      <c r="D77" s="2"/>
      <c r="E77" s="2" t="s">
        <v>311</v>
      </c>
      <c r="F77" s="2">
        <v>1.0</v>
      </c>
      <c r="G77" s="2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 t="s">
        <v>320</v>
      </c>
      <c r="B78" s="2">
        <v>1.0</v>
      </c>
      <c r="C78" s="2"/>
      <c r="D78" s="2"/>
      <c r="E78" s="2" t="s">
        <v>311</v>
      </c>
      <c r="F78" s="2">
        <v>1.0</v>
      </c>
      <c r="G78" s="2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 t="s">
        <v>321</v>
      </c>
      <c r="B79" s="2">
        <v>1.0</v>
      </c>
      <c r="C79" s="2"/>
      <c r="D79" s="2"/>
      <c r="E79" s="2" t="s">
        <v>311</v>
      </c>
      <c r="F79" s="2">
        <v>3.0</v>
      </c>
      <c r="G79" s="2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 t="s">
        <v>321</v>
      </c>
      <c r="B80" s="2"/>
      <c r="C80" s="2" t="s">
        <v>69</v>
      </c>
      <c r="D80" s="2"/>
      <c r="E80" s="2" t="s">
        <v>311</v>
      </c>
      <c r="F80" s="2">
        <v>1.0</v>
      </c>
      <c r="G80" s="2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 t="s">
        <v>321</v>
      </c>
      <c r="B81" s="2"/>
      <c r="C81" s="2" t="s">
        <v>322</v>
      </c>
      <c r="D81" s="2"/>
      <c r="E81" s="2" t="s">
        <v>311</v>
      </c>
      <c r="F81" s="2">
        <v>1.0</v>
      </c>
      <c r="G81" s="2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 t="s">
        <v>321</v>
      </c>
      <c r="B82" s="2"/>
      <c r="C82" s="2" t="s">
        <v>247</v>
      </c>
      <c r="D82" s="2"/>
      <c r="E82" s="2" t="s">
        <v>311</v>
      </c>
      <c r="F82" s="2">
        <v>1.0</v>
      </c>
      <c r="G82" s="2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 t="s">
        <v>323</v>
      </c>
      <c r="B83" s="2">
        <v>1.0</v>
      </c>
      <c r="C83" s="2"/>
      <c r="D83" s="2"/>
      <c r="E83" s="2" t="s">
        <v>311</v>
      </c>
      <c r="F83" s="2">
        <v>1.0</v>
      </c>
      <c r="G83" s="2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 t="s">
        <v>325</v>
      </c>
      <c r="B84" s="2">
        <v>1.0</v>
      </c>
      <c r="C84" s="2" t="s">
        <v>326</v>
      </c>
      <c r="D84" s="2"/>
      <c r="E84" s="2" t="s">
        <v>311</v>
      </c>
      <c r="F84" s="2">
        <v>1.0</v>
      </c>
      <c r="G84" s="2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 t="s">
        <v>325</v>
      </c>
      <c r="B85" s="2"/>
      <c r="C85" s="2" t="s">
        <v>41</v>
      </c>
      <c r="D85" s="2"/>
      <c r="E85" s="2" t="s">
        <v>311</v>
      </c>
      <c r="F85" s="2">
        <v>1.0</v>
      </c>
      <c r="G85" s="2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 t="s">
        <v>325</v>
      </c>
      <c r="B86" s="2"/>
      <c r="C86" s="2" t="s">
        <v>182</v>
      </c>
      <c r="D86" s="2"/>
      <c r="E86" s="2" t="s">
        <v>311</v>
      </c>
      <c r="F86" s="2">
        <v>1.0</v>
      </c>
      <c r="G86" s="2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 t="s">
        <v>325</v>
      </c>
      <c r="B87" s="2"/>
      <c r="C87" s="2" t="s">
        <v>17</v>
      </c>
      <c r="D87" s="2"/>
      <c r="E87" s="2" t="s">
        <v>311</v>
      </c>
      <c r="F87" s="2">
        <v>1.0</v>
      </c>
      <c r="G87" s="2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 t="s">
        <v>327</v>
      </c>
      <c r="B88" s="2">
        <v>1.0</v>
      </c>
      <c r="C88" s="2"/>
      <c r="D88" s="2"/>
      <c r="E88" s="2" t="s">
        <v>311</v>
      </c>
      <c r="F88" s="2">
        <v>3.0</v>
      </c>
      <c r="G88" s="2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 t="s">
        <v>327</v>
      </c>
      <c r="B89" s="2"/>
      <c r="C89" s="2" t="s">
        <v>328</v>
      </c>
      <c r="D89" s="2"/>
      <c r="E89" s="2" t="s">
        <v>311</v>
      </c>
      <c r="F89" s="2">
        <v>1.0</v>
      </c>
      <c r="G89" s="2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 t="s">
        <v>329</v>
      </c>
      <c r="B90" s="2">
        <v>1.0</v>
      </c>
      <c r="C90" s="2"/>
      <c r="D90" s="2"/>
      <c r="E90" s="2" t="s">
        <v>311</v>
      </c>
      <c r="F90" s="2">
        <v>1.0</v>
      </c>
      <c r="G90" s="2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 t="s">
        <v>330</v>
      </c>
      <c r="B91" s="2">
        <v>1.0</v>
      </c>
      <c r="C91" s="2"/>
      <c r="D91" s="2"/>
      <c r="E91" s="2" t="s">
        <v>311</v>
      </c>
      <c r="F91" s="2">
        <v>10.0</v>
      </c>
      <c r="G91" s="2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 t="s">
        <v>330</v>
      </c>
      <c r="B92" s="2"/>
      <c r="C92" s="2" t="s">
        <v>331</v>
      </c>
      <c r="D92" s="2"/>
      <c r="E92" s="2" t="s">
        <v>311</v>
      </c>
      <c r="F92" s="2">
        <v>1.0</v>
      </c>
      <c r="G92" s="2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 t="s">
        <v>330</v>
      </c>
      <c r="B93" s="2"/>
      <c r="C93" s="2" t="s">
        <v>332</v>
      </c>
      <c r="D93" s="2"/>
      <c r="E93" s="2" t="s">
        <v>311</v>
      </c>
      <c r="F93" s="2">
        <v>1.0</v>
      </c>
      <c r="G93" s="2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 t="s">
        <v>330</v>
      </c>
      <c r="B94" s="2"/>
      <c r="C94" s="2" t="s">
        <v>243</v>
      </c>
      <c r="D94" s="2"/>
      <c r="E94" s="2" t="s">
        <v>311</v>
      </c>
      <c r="F94" s="2">
        <v>1.0</v>
      </c>
      <c r="G94" s="2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 t="s">
        <v>330</v>
      </c>
      <c r="B95" s="2"/>
      <c r="C95" s="2" t="s">
        <v>333</v>
      </c>
      <c r="D95" s="2"/>
      <c r="E95" s="2" t="s">
        <v>311</v>
      </c>
      <c r="F95" s="2">
        <v>1.0</v>
      </c>
      <c r="G95" s="2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 t="s">
        <v>330</v>
      </c>
      <c r="B96" s="2"/>
      <c r="C96" s="2" t="s">
        <v>334</v>
      </c>
      <c r="D96" s="2"/>
      <c r="E96" s="2" t="s">
        <v>311</v>
      </c>
      <c r="F96" s="2">
        <v>4.0</v>
      </c>
      <c r="G96" s="2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 t="s">
        <v>330</v>
      </c>
      <c r="B97" s="2"/>
      <c r="C97" s="2" t="s">
        <v>247</v>
      </c>
      <c r="D97" s="2"/>
      <c r="E97" s="2" t="s">
        <v>311</v>
      </c>
      <c r="F97" s="2">
        <v>1.0</v>
      </c>
      <c r="G97" s="2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 t="s">
        <v>330</v>
      </c>
      <c r="B98" s="2"/>
      <c r="C98" s="2" t="s">
        <v>311</v>
      </c>
      <c r="D98" s="2"/>
      <c r="E98" s="2" t="s">
        <v>311</v>
      </c>
      <c r="F98" s="2">
        <v>1.0</v>
      </c>
      <c r="G98" s="2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 t="s">
        <v>336</v>
      </c>
      <c r="B99" s="2">
        <v>1.0</v>
      </c>
      <c r="C99" s="2"/>
      <c r="D99" s="2"/>
      <c r="E99" s="2" t="s">
        <v>311</v>
      </c>
      <c r="F99" s="2">
        <v>1.0</v>
      </c>
      <c r="G99" s="2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 t="s">
        <v>337</v>
      </c>
      <c r="B100" s="2">
        <v>1.0</v>
      </c>
      <c r="C100" s="2"/>
      <c r="D100" s="2"/>
      <c r="E100" s="2" t="s">
        <v>311</v>
      </c>
      <c r="F100" s="2">
        <v>1.0</v>
      </c>
      <c r="G100" s="2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 t="s">
        <v>338</v>
      </c>
      <c r="B101" s="2">
        <v>1.0</v>
      </c>
      <c r="C101" s="2"/>
      <c r="D101" s="2"/>
      <c r="E101" s="2" t="s">
        <v>311</v>
      </c>
      <c r="F101" s="2">
        <v>1.0</v>
      </c>
      <c r="G101" s="2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 t="s">
        <v>341</v>
      </c>
      <c r="B102" s="2">
        <v>1.0</v>
      </c>
      <c r="C102" s="2"/>
      <c r="D102" s="2"/>
      <c r="E102" s="2" t="s">
        <v>311</v>
      </c>
      <c r="F102" s="2">
        <v>1.0</v>
      </c>
      <c r="G102" s="2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 t="s">
        <v>341</v>
      </c>
      <c r="B103" s="2"/>
      <c r="C103" s="2" t="s">
        <v>322</v>
      </c>
      <c r="D103" s="2"/>
      <c r="E103" s="2" t="s">
        <v>311</v>
      </c>
      <c r="F103" s="2">
        <v>1.0</v>
      </c>
      <c r="G103" s="2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 t="s">
        <v>342</v>
      </c>
      <c r="B104" s="2">
        <v>1.0</v>
      </c>
      <c r="C104" s="2"/>
      <c r="D104" s="2"/>
      <c r="E104" s="2" t="s">
        <v>311</v>
      </c>
      <c r="F104" s="2">
        <v>2.0</v>
      </c>
      <c r="G104" s="2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 t="s">
        <v>343</v>
      </c>
      <c r="B105" s="2">
        <v>1.0</v>
      </c>
      <c r="C105" s="2"/>
      <c r="D105" s="2"/>
      <c r="E105" s="2" t="s">
        <v>311</v>
      </c>
      <c r="F105" s="2">
        <v>3.0</v>
      </c>
      <c r="G105" s="2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 t="s">
        <v>343</v>
      </c>
      <c r="B106" s="2"/>
      <c r="C106" s="2" t="s">
        <v>333</v>
      </c>
      <c r="D106" s="2"/>
      <c r="E106" s="2" t="s">
        <v>311</v>
      </c>
      <c r="F106" s="2">
        <v>2.0</v>
      </c>
      <c r="G106" s="2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 t="s">
        <v>347</v>
      </c>
      <c r="B107" s="2">
        <v>1.0</v>
      </c>
      <c r="C107" s="2" t="s">
        <v>348</v>
      </c>
      <c r="D107" s="2"/>
      <c r="E107" s="2" t="s">
        <v>311</v>
      </c>
      <c r="F107" s="2">
        <v>1.0</v>
      </c>
      <c r="G107" s="2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 t="s">
        <v>347</v>
      </c>
      <c r="B108" s="2"/>
      <c r="C108" s="2" t="s">
        <v>333</v>
      </c>
      <c r="D108" s="2"/>
      <c r="E108" s="2" t="s">
        <v>311</v>
      </c>
      <c r="F108" s="2">
        <v>1.0</v>
      </c>
      <c r="G108" s="2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 t="s">
        <v>349</v>
      </c>
      <c r="B109" s="2">
        <v>1.0</v>
      </c>
      <c r="C109" s="2" t="s">
        <v>10</v>
      </c>
      <c r="D109" s="2"/>
      <c r="E109" s="2" t="s">
        <v>311</v>
      </c>
      <c r="F109" s="2">
        <v>1.0</v>
      </c>
      <c r="G109" s="2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 t="s">
        <v>350</v>
      </c>
      <c r="B110" s="2">
        <v>1.0</v>
      </c>
      <c r="C110" s="2"/>
      <c r="D110" s="2"/>
      <c r="E110" s="2" t="s">
        <v>311</v>
      </c>
      <c r="F110" s="2">
        <v>1.0</v>
      </c>
      <c r="G110" s="2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 t="s">
        <v>351</v>
      </c>
      <c r="B111" s="2">
        <v>1.0</v>
      </c>
      <c r="C111" s="2" t="s">
        <v>149</v>
      </c>
      <c r="D111" s="2"/>
      <c r="E111" s="2" t="s">
        <v>311</v>
      </c>
      <c r="F111" s="2">
        <v>1.0</v>
      </c>
      <c r="G111" s="2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 t="s">
        <v>353</v>
      </c>
      <c r="B112" s="2">
        <v>1.0</v>
      </c>
      <c r="C112" s="2"/>
      <c r="D112" s="2"/>
      <c r="E112" s="2" t="s">
        <v>311</v>
      </c>
      <c r="F112" s="2">
        <v>1.0</v>
      </c>
      <c r="G112" s="2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 t="s">
        <v>354</v>
      </c>
      <c r="B113" s="2">
        <v>1.0</v>
      </c>
      <c r="C113" s="2"/>
      <c r="D113" s="2"/>
      <c r="E113" s="2" t="s">
        <v>311</v>
      </c>
      <c r="F113" s="2">
        <v>1.0</v>
      </c>
      <c r="G113" s="2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 t="s">
        <v>354</v>
      </c>
      <c r="B114" s="2"/>
      <c r="C114" s="2" t="s">
        <v>355</v>
      </c>
      <c r="D114" s="2"/>
      <c r="E114" s="2" t="s">
        <v>311</v>
      </c>
      <c r="F114" s="2">
        <v>2.0</v>
      </c>
      <c r="G114" s="2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 t="s">
        <v>354</v>
      </c>
      <c r="B115" s="2"/>
      <c r="C115" s="2" t="s">
        <v>356</v>
      </c>
      <c r="D115" s="2"/>
      <c r="E115" s="2" t="s">
        <v>311</v>
      </c>
      <c r="F115" s="2">
        <v>1.0</v>
      </c>
      <c r="G115" s="2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 t="s">
        <v>357</v>
      </c>
      <c r="B116" s="2">
        <v>1.0</v>
      </c>
      <c r="C116" s="2" t="s">
        <v>333</v>
      </c>
      <c r="D116" s="2"/>
      <c r="E116" s="2" t="s">
        <v>311</v>
      </c>
      <c r="F116" s="2">
        <v>1.0</v>
      </c>
      <c r="G116" s="2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 t="s">
        <v>357</v>
      </c>
      <c r="B117" s="2">
        <v>1.0</v>
      </c>
      <c r="C117" s="2" t="s">
        <v>358</v>
      </c>
      <c r="D117" s="2"/>
      <c r="E117" s="2" t="s">
        <v>311</v>
      </c>
      <c r="F117" s="2">
        <v>1.0</v>
      </c>
      <c r="G117" s="2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 t="s">
        <v>363</v>
      </c>
      <c r="B118" s="2">
        <v>1.0</v>
      </c>
      <c r="C118" s="2"/>
      <c r="D118" s="2"/>
      <c r="E118" s="2" t="s">
        <v>311</v>
      </c>
      <c r="F118" s="2">
        <v>1.0</v>
      </c>
      <c r="G118" s="2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 t="s">
        <v>364</v>
      </c>
      <c r="B119" s="2">
        <v>1.0</v>
      </c>
      <c r="C119" s="2" t="s">
        <v>365</v>
      </c>
      <c r="D119" s="2"/>
      <c r="E119" s="2" t="s">
        <v>311</v>
      </c>
      <c r="F119" s="2">
        <v>1.0</v>
      </c>
      <c r="G119" s="2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 t="s">
        <v>364</v>
      </c>
      <c r="B120" s="2"/>
      <c r="C120" s="2" t="s">
        <v>17</v>
      </c>
      <c r="D120" s="2"/>
      <c r="E120" s="2" t="s">
        <v>311</v>
      </c>
      <c r="F120" s="2">
        <v>1.0</v>
      </c>
      <c r="G120" s="2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 t="s">
        <v>367</v>
      </c>
      <c r="B121" s="2">
        <v>1.0</v>
      </c>
      <c r="C121" s="2"/>
      <c r="D121" s="2"/>
      <c r="E121" s="2" t="s">
        <v>311</v>
      </c>
      <c r="F121" s="2">
        <v>4.0</v>
      </c>
      <c r="G121" s="2" t="s">
        <v>368</v>
      </c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 t="s">
        <v>367</v>
      </c>
      <c r="B122" s="2"/>
      <c r="C122" s="2" t="s">
        <v>69</v>
      </c>
      <c r="D122" s="2"/>
      <c r="E122" s="2" t="s">
        <v>311</v>
      </c>
      <c r="F122" s="2">
        <v>1.0</v>
      </c>
      <c r="G122" s="2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 t="s">
        <v>367</v>
      </c>
      <c r="B123" s="2"/>
      <c r="C123" s="2" t="s">
        <v>333</v>
      </c>
      <c r="D123" s="2"/>
      <c r="E123" s="2" t="s">
        <v>311</v>
      </c>
      <c r="F123" s="2">
        <v>2.0</v>
      </c>
      <c r="G123" s="2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 t="s">
        <v>367</v>
      </c>
      <c r="B124" s="2"/>
      <c r="C124" s="2" t="s">
        <v>247</v>
      </c>
      <c r="D124" s="2"/>
      <c r="E124" s="2" t="s">
        <v>311</v>
      </c>
      <c r="F124" s="2">
        <v>2.0</v>
      </c>
      <c r="G124" s="2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 t="s">
        <v>369</v>
      </c>
      <c r="B125" s="2">
        <v>1.0</v>
      </c>
      <c r="C125" s="2"/>
      <c r="D125" s="2"/>
      <c r="E125" s="2" t="s">
        <v>311</v>
      </c>
      <c r="F125" s="2">
        <v>4.0</v>
      </c>
      <c r="G125" s="2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 t="s">
        <v>369</v>
      </c>
      <c r="B126" s="2"/>
      <c r="C126" s="2" t="s">
        <v>282</v>
      </c>
      <c r="D126" s="2"/>
      <c r="E126" s="2" t="s">
        <v>311</v>
      </c>
      <c r="F126" s="2">
        <v>2.0</v>
      </c>
      <c r="G126" s="2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 t="s">
        <v>369</v>
      </c>
      <c r="B127" s="2"/>
      <c r="C127" s="2" t="s">
        <v>25</v>
      </c>
      <c r="D127" s="2"/>
      <c r="E127" s="2" t="s">
        <v>311</v>
      </c>
      <c r="F127" s="2">
        <v>1.0</v>
      </c>
      <c r="G127" s="2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 t="s">
        <v>371</v>
      </c>
      <c r="B128" s="2">
        <v>1.0</v>
      </c>
      <c r="C128" s="2"/>
      <c r="D128" s="2"/>
      <c r="E128" s="2" t="s">
        <v>311</v>
      </c>
      <c r="F128" s="2">
        <v>1.0</v>
      </c>
      <c r="G128" s="2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 t="s">
        <v>373</v>
      </c>
      <c r="B129" s="2">
        <v>1.0</v>
      </c>
      <c r="C129" s="2"/>
      <c r="D129" s="2"/>
      <c r="E129" s="2" t="s">
        <v>311</v>
      </c>
      <c r="F129" s="2">
        <v>1.0</v>
      </c>
      <c r="G129" s="2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 t="s">
        <v>375</v>
      </c>
      <c r="B130" s="2">
        <v>1.0</v>
      </c>
      <c r="C130" s="2"/>
      <c r="D130" s="2"/>
      <c r="E130" s="2" t="s">
        <v>311</v>
      </c>
      <c r="F130" s="2">
        <v>1.0</v>
      </c>
      <c r="G130" s="2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 t="s">
        <v>376</v>
      </c>
      <c r="B131" s="2">
        <v>1.0</v>
      </c>
      <c r="C131" s="2"/>
      <c r="D131" s="2"/>
      <c r="E131" s="2" t="s">
        <v>311</v>
      </c>
      <c r="F131" s="2">
        <v>1.0</v>
      </c>
      <c r="G131" s="2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 t="s">
        <v>377</v>
      </c>
      <c r="B132" s="2">
        <v>1.0</v>
      </c>
      <c r="C132" s="2" t="s">
        <v>10</v>
      </c>
      <c r="D132" s="2"/>
      <c r="E132" s="2" t="s">
        <v>311</v>
      </c>
      <c r="F132" s="2">
        <v>1.0</v>
      </c>
      <c r="G132" s="2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 t="s">
        <v>378</v>
      </c>
      <c r="B133" s="2">
        <v>1.0</v>
      </c>
      <c r="C133" s="2"/>
      <c r="D133" s="2"/>
      <c r="E133" s="2" t="s">
        <v>311</v>
      </c>
      <c r="F133" s="2">
        <v>1.0</v>
      </c>
      <c r="G133" s="2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 t="s">
        <v>383</v>
      </c>
      <c r="B134" s="2">
        <v>1.0</v>
      </c>
      <c r="C134" s="2" t="s">
        <v>83</v>
      </c>
      <c r="D134" s="2"/>
      <c r="E134" s="2" t="s">
        <v>311</v>
      </c>
      <c r="F134" s="2">
        <v>1.0</v>
      </c>
      <c r="G134" s="2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 t="s">
        <v>383</v>
      </c>
      <c r="B135" s="2"/>
      <c r="C135" s="2" t="s">
        <v>182</v>
      </c>
      <c r="D135" s="2"/>
      <c r="E135" s="2" t="s">
        <v>311</v>
      </c>
      <c r="F135" s="2">
        <v>1.0</v>
      </c>
      <c r="G135" s="2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 t="s">
        <v>382</v>
      </c>
      <c r="B136" s="2">
        <v>1.0</v>
      </c>
      <c r="C136" s="2"/>
      <c r="D136" s="2"/>
      <c r="E136" s="2" t="s">
        <v>311</v>
      </c>
      <c r="F136" s="2">
        <v>1.0</v>
      </c>
      <c r="G136" s="2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 t="s">
        <v>384</v>
      </c>
      <c r="B137" s="2">
        <v>1.0</v>
      </c>
      <c r="C137" s="2"/>
      <c r="D137" s="2"/>
      <c r="E137" s="2" t="s">
        <v>311</v>
      </c>
      <c r="F137" s="2">
        <v>1.0</v>
      </c>
      <c r="G137" s="2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 t="s">
        <v>385</v>
      </c>
      <c r="B138" s="2">
        <v>1.0</v>
      </c>
      <c r="C138" s="2" t="s">
        <v>41</v>
      </c>
      <c r="D138" s="2"/>
      <c r="E138" s="2" t="s">
        <v>311</v>
      </c>
      <c r="F138" s="2">
        <v>1.0</v>
      </c>
      <c r="G138" s="2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 t="s">
        <v>385</v>
      </c>
      <c r="B139" s="2"/>
      <c r="C139" s="2" t="s">
        <v>83</v>
      </c>
      <c r="D139" s="2"/>
      <c r="E139" s="2" t="s">
        <v>311</v>
      </c>
      <c r="F139" s="2">
        <v>1.0</v>
      </c>
      <c r="G139" s="2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 t="s">
        <v>385</v>
      </c>
      <c r="B140" s="2"/>
      <c r="C140" s="2" t="s">
        <v>156</v>
      </c>
      <c r="D140" s="2"/>
      <c r="E140" s="2" t="s">
        <v>311</v>
      </c>
      <c r="F140" s="2">
        <v>1.0</v>
      </c>
      <c r="G140" s="2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 t="s">
        <v>385</v>
      </c>
      <c r="B141" s="2"/>
      <c r="C141" s="2" t="s">
        <v>386</v>
      </c>
      <c r="D141" s="2"/>
      <c r="E141" s="2" t="s">
        <v>311</v>
      </c>
      <c r="F141" s="2">
        <v>1.0</v>
      </c>
      <c r="G141" s="2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 t="s">
        <v>385</v>
      </c>
      <c r="B142" s="2"/>
      <c r="C142" s="2" t="s">
        <v>182</v>
      </c>
      <c r="D142" s="2"/>
      <c r="E142" s="2" t="s">
        <v>311</v>
      </c>
      <c r="F142" s="2">
        <v>1.0</v>
      </c>
      <c r="G142" s="2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 t="s">
        <v>97</v>
      </c>
      <c r="B143" s="2">
        <v>1.0</v>
      </c>
      <c r="C143" s="2"/>
      <c r="D143" s="2"/>
      <c r="E143" s="2" t="s">
        <v>311</v>
      </c>
      <c r="F143" s="2">
        <v>1.0</v>
      </c>
      <c r="G143" s="2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 t="s">
        <v>97</v>
      </c>
      <c r="B144" s="2"/>
      <c r="C144" s="2" t="s">
        <v>333</v>
      </c>
      <c r="D144" s="2"/>
      <c r="E144" s="2" t="s">
        <v>311</v>
      </c>
      <c r="F144" s="2">
        <v>1.0</v>
      </c>
      <c r="G144" s="2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 t="s">
        <v>394</v>
      </c>
      <c r="B145" s="2">
        <v>1.0</v>
      </c>
      <c r="C145" s="2"/>
      <c r="D145" s="2"/>
      <c r="E145" s="2" t="s">
        <v>311</v>
      </c>
      <c r="F145" s="2">
        <v>2.0</v>
      </c>
      <c r="G145" s="2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 t="s">
        <v>395</v>
      </c>
      <c r="B146" s="2">
        <v>1.0</v>
      </c>
      <c r="C146" s="2"/>
      <c r="D146" s="2"/>
      <c r="E146" s="2" t="s">
        <v>311</v>
      </c>
      <c r="F146" s="2">
        <v>1.0</v>
      </c>
      <c r="G146" s="2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 t="s">
        <v>396</v>
      </c>
      <c r="B147" s="2">
        <v>1.0</v>
      </c>
      <c r="C147" s="2"/>
      <c r="D147" s="2"/>
      <c r="E147" s="2" t="s">
        <v>311</v>
      </c>
      <c r="F147" s="2">
        <v>2.0</v>
      </c>
      <c r="G147" s="2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 t="s">
        <v>396</v>
      </c>
      <c r="B148" s="2"/>
      <c r="C148" s="2" t="s">
        <v>390</v>
      </c>
      <c r="D148" s="2"/>
      <c r="E148" s="2" t="s">
        <v>311</v>
      </c>
      <c r="F148" s="2">
        <v>1.0</v>
      </c>
      <c r="G148" s="2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 t="s">
        <v>396</v>
      </c>
      <c r="B149" s="2"/>
      <c r="C149" s="2" t="s">
        <v>397</v>
      </c>
      <c r="D149" s="2"/>
      <c r="E149" s="2" t="s">
        <v>311</v>
      </c>
      <c r="F149" s="2">
        <v>1.0</v>
      </c>
      <c r="G149" s="2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 t="s">
        <v>396</v>
      </c>
      <c r="B150" s="2"/>
      <c r="C150" s="2" t="s">
        <v>398</v>
      </c>
      <c r="D150" s="2"/>
      <c r="E150" s="2" t="s">
        <v>311</v>
      </c>
      <c r="F150" s="2">
        <v>1.0</v>
      </c>
      <c r="G150" s="2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 t="s">
        <v>400</v>
      </c>
      <c r="B151" s="2">
        <v>1.0</v>
      </c>
      <c r="C151" s="2" t="s">
        <v>92</v>
      </c>
      <c r="D151" s="2"/>
      <c r="E151" s="2" t="s">
        <v>311</v>
      </c>
      <c r="F151" s="2">
        <v>1.0</v>
      </c>
      <c r="G151" s="2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 t="s">
        <v>402</v>
      </c>
      <c r="B152" s="2">
        <v>1.0</v>
      </c>
      <c r="C152" s="2"/>
      <c r="D152" s="2"/>
      <c r="E152" s="2" t="s">
        <v>311</v>
      </c>
      <c r="F152" s="2">
        <v>1.0</v>
      </c>
      <c r="G152" s="2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 t="s">
        <v>403</v>
      </c>
      <c r="B153" s="2">
        <v>1.0</v>
      </c>
      <c r="C153" s="2"/>
      <c r="D153" s="2"/>
      <c r="E153" s="2" t="s">
        <v>311</v>
      </c>
      <c r="F153" s="2">
        <v>1.0</v>
      </c>
      <c r="G153" s="2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 t="s">
        <v>403</v>
      </c>
      <c r="B154" s="2"/>
      <c r="C154" s="2" t="s">
        <v>404</v>
      </c>
      <c r="D154" s="2"/>
      <c r="E154" s="2" t="s">
        <v>311</v>
      </c>
      <c r="F154" s="2">
        <v>5.0</v>
      </c>
      <c r="G154" s="2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 t="s">
        <v>403</v>
      </c>
      <c r="B155" s="2"/>
      <c r="C155" s="2" t="s">
        <v>405</v>
      </c>
      <c r="D155" s="2"/>
      <c r="E155" s="2" t="s">
        <v>311</v>
      </c>
      <c r="F155" s="2">
        <v>1.0</v>
      </c>
      <c r="G155" s="2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 t="s">
        <v>403</v>
      </c>
      <c r="B156" s="2"/>
      <c r="C156" s="2" t="s">
        <v>406</v>
      </c>
      <c r="D156" s="2"/>
      <c r="E156" s="2" t="s">
        <v>311</v>
      </c>
      <c r="F156" s="2">
        <v>1.0</v>
      </c>
      <c r="G156" s="2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 t="s">
        <v>403</v>
      </c>
      <c r="B157" s="2"/>
      <c r="C157" s="2" t="s">
        <v>407</v>
      </c>
      <c r="D157" s="2"/>
      <c r="E157" s="2" t="s">
        <v>311</v>
      </c>
      <c r="F157" s="2">
        <v>1.0</v>
      </c>
      <c r="G157" s="2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 t="s">
        <v>403</v>
      </c>
      <c r="B158" s="2"/>
      <c r="C158" s="14">
        <v>0.0</v>
      </c>
      <c r="D158" s="2"/>
      <c r="E158" s="2" t="s">
        <v>311</v>
      </c>
      <c r="F158" s="2">
        <v>1.0</v>
      </c>
      <c r="G158" s="2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 t="s">
        <v>410</v>
      </c>
      <c r="B159" s="2">
        <v>1.0</v>
      </c>
      <c r="C159" s="2"/>
      <c r="D159" s="2"/>
      <c r="E159" s="2" t="s">
        <v>311</v>
      </c>
      <c r="F159" s="2">
        <v>1.0</v>
      </c>
      <c r="G159" s="2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 t="s">
        <v>411</v>
      </c>
      <c r="B160" s="2">
        <v>1.0</v>
      </c>
      <c r="C160" s="2"/>
      <c r="D160" s="2"/>
      <c r="E160" s="2" t="s">
        <v>311</v>
      </c>
      <c r="F160" s="2">
        <v>1.0</v>
      </c>
      <c r="G160" s="2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 t="s">
        <v>412</v>
      </c>
      <c r="B161" s="2">
        <v>1.0</v>
      </c>
      <c r="C161" s="2"/>
      <c r="D161" s="2"/>
      <c r="E161" s="2" t="s">
        <v>311</v>
      </c>
      <c r="F161" s="2">
        <v>3.0</v>
      </c>
      <c r="G161" s="2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 t="s">
        <v>412</v>
      </c>
      <c r="B162" s="2"/>
      <c r="C162" s="2" t="s">
        <v>414</v>
      </c>
      <c r="D162" s="2"/>
      <c r="E162" s="2" t="s">
        <v>311</v>
      </c>
      <c r="F162" s="2">
        <v>1.0</v>
      </c>
      <c r="G162" s="2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 t="s">
        <v>412</v>
      </c>
      <c r="B163" s="2"/>
      <c r="C163" s="2" t="s">
        <v>415</v>
      </c>
      <c r="D163" s="2"/>
      <c r="E163" s="2" t="s">
        <v>311</v>
      </c>
      <c r="F163" s="2">
        <v>4.0</v>
      </c>
      <c r="G163" s="2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 t="s">
        <v>417</v>
      </c>
      <c r="B164" s="2">
        <v>1.0</v>
      </c>
      <c r="C164" s="2"/>
      <c r="D164" s="2"/>
      <c r="E164" s="2" t="s">
        <v>311</v>
      </c>
      <c r="F164" s="2">
        <v>1.0</v>
      </c>
      <c r="G164" s="2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 t="s">
        <v>418</v>
      </c>
      <c r="B165" s="2">
        <v>1.0</v>
      </c>
      <c r="C165" s="2"/>
      <c r="D165" s="2"/>
      <c r="E165" s="2" t="s">
        <v>311</v>
      </c>
      <c r="F165" s="2">
        <v>2.0</v>
      </c>
      <c r="G165" s="2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 t="s">
        <v>420</v>
      </c>
      <c r="B166" s="2">
        <v>1.0</v>
      </c>
      <c r="C166" s="2"/>
      <c r="D166" s="2"/>
      <c r="E166" s="2" t="s">
        <v>311</v>
      </c>
      <c r="F166" s="2">
        <v>2.0</v>
      </c>
      <c r="G166" s="2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 t="s">
        <v>421</v>
      </c>
      <c r="B167" s="2">
        <v>1.0</v>
      </c>
      <c r="C167" s="2"/>
      <c r="D167" s="2"/>
      <c r="E167" s="2" t="s">
        <v>311</v>
      </c>
      <c r="F167" s="2">
        <v>2.0</v>
      </c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 t="s">
        <v>432</v>
      </c>
      <c r="B168" s="2">
        <v>1.0</v>
      </c>
      <c r="C168" s="2"/>
      <c r="D168" s="2"/>
      <c r="E168" s="2" t="s">
        <v>311</v>
      </c>
      <c r="F168" s="2">
        <v>2.0</v>
      </c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 t="s">
        <v>433</v>
      </c>
      <c r="B169" s="2">
        <v>1.0</v>
      </c>
      <c r="C169" s="2"/>
      <c r="D169" s="2"/>
      <c r="E169" s="2" t="s">
        <v>311</v>
      </c>
      <c r="F169" s="2">
        <v>1.0</v>
      </c>
      <c r="G169" s="2">
        <f>SUM(F73:F169)</f>
        <v>148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 t="s">
        <v>436</v>
      </c>
      <c r="B170" s="2">
        <v>1.0</v>
      </c>
      <c r="C170" s="2" t="s">
        <v>20</v>
      </c>
      <c r="D170" s="2"/>
      <c r="E170" s="2" t="s">
        <v>437</v>
      </c>
      <c r="F170" s="2">
        <v>1.0</v>
      </c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 t="s">
        <v>436</v>
      </c>
      <c r="B171" s="2"/>
      <c r="C171" s="2" t="s">
        <v>308</v>
      </c>
      <c r="D171" s="2"/>
      <c r="E171" s="2" t="s">
        <v>437</v>
      </c>
      <c r="F171" s="2">
        <v>1.0</v>
      </c>
      <c r="G171" s="2">
        <f>SUM(F170:F171)</f>
        <v>2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 t="s">
        <v>438</v>
      </c>
      <c r="B172" s="2">
        <v>1.0</v>
      </c>
      <c r="C172" s="2"/>
      <c r="D172" s="2"/>
      <c r="E172" s="2" t="s">
        <v>439</v>
      </c>
      <c r="F172" s="2">
        <v>2.0</v>
      </c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 t="s">
        <v>440</v>
      </c>
      <c r="B173" s="2">
        <v>1.0</v>
      </c>
      <c r="C173" s="2"/>
      <c r="D173" s="2"/>
      <c r="E173" s="2" t="s">
        <v>439</v>
      </c>
      <c r="F173" s="2">
        <v>2.0</v>
      </c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 t="s">
        <v>440</v>
      </c>
      <c r="B174" s="2"/>
      <c r="C174" s="2" t="s">
        <v>441</v>
      </c>
      <c r="D174" s="2"/>
      <c r="E174" s="2" t="s">
        <v>439</v>
      </c>
      <c r="F174" s="2">
        <v>1.0</v>
      </c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 t="s">
        <v>442</v>
      </c>
      <c r="B175" s="2">
        <v>1.0</v>
      </c>
      <c r="C175" s="2" t="s">
        <v>315</v>
      </c>
      <c r="D175" s="2"/>
      <c r="E175" s="2" t="s">
        <v>439</v>
      </c>
      <c r="F175" s="2">
        <v>1.0</v>
      </c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 t="s">
        <v>318</v>
      </c>
      <c r="B176" s="2">
        <v>1.0</v>
      </c>
      <c r="C176" s="2"/>
      <c r="D176" s="2"/>
      <c r="E176" s="2" t="s">
        <v>439</v>
      </c>
      <c r="F176" s="2">
        <v>2.0</v>
      </c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 t="s">
        <v>318</v>
      </c>
      <c r="B177" s="2"/>
      <c r="C177" s="2" t="s">
        <v>443</v>
      </c>
      <c r="D177" s="2"/>
      <c r="E177" s="2" t="s">
        <v>439</v>
      </c>
      <c r="F177" s="2">
        <v>1.0</v>
      </c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 t="s">
        <v>318</v>
      </c>
      <c r="B178" s="2"/>
      <c r="C178" s="2" t="s">
        <v>444</v>
      </c>
      <c r="D178" s="2"/>
      <c r="E178" s="2" t="s">
        <v>439</v>
      </c>
      <c r="F178" s="2">
        <v>1.0</v>
      </c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 t="s">
        <v>445</v>
      </c>
      <c r="B179" s="2">
        <v>1.0</v>
      </c>
      <c r="C179" s="2"/>
      <c r="D179" s="2"/>
      <c r="E179" s="2" t="s">
        <v>439</v>
      </c>
      <c r="F179" s="2">
        <v>1.0</v>
      </c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 t="s">
        <v>446</v>
      </c>
      <c r="B180" s="2">
        <v>1.0</v>
      </c>
      <c r="C180" s="2"/>
      <c r="D180" s="2"/>
      <c r="E180" s="2" t="s">
        <v>439</v>
      </c>
      <c r="F180" s="2">
        <v>2.0</v>
      </c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 t="s">
        <v>446</v>
      </c>
      <c r="B181" s="2"/>
      <c r="C181" s="2" t="s">
        <v>447</v>
      </c>
      <c r="D181" s="2"/>
      <c r="E181" s="2" t="s">
        <v>439</v>
      </c>
      <c r="F181" s="2">
        <v>1.0</v>
      </c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 t="s">
        <v>446</v>
      </c>
      <c r="B182" s="2"/>
      <c r="C182" s="2" t="s">
        <v>138</v>
      </c>
      <c r="D182" s="2"/>
      <c r="E182" s="2" t="s">
        <v>439</v>
      </c>
      <c r="F182" s="2">
        <v>1.0</v>
      </c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 t="s">
        <v>180</v>
      </c>
      <c r="B183" s="2">
        <v>1.0</v>
      </c>
      <c r="C183" s="2" t="s">
        <v>394</v>
      </c>
      <c r="D183" s="2"/>
      <c r="E183" s="2" t="s">
        <v>439</v>
      </c>
      <c r="F183" s="2">
        <v>2.0</v>
      </c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 t="s">
        <v>448</v>
      </c>
      <c r="B184" s="2">
        <v>1.0</v>
      </c>
      <c r="C184" s="2"/>
      <c r="D184" s="2"/>
      <c r="E184" s="2" t="s">
        <v>439</v>
      </c>
      <c r="F184" s="2">
        <v>2.0</v>
      </c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 t="s">
        <v>448</v>
      </c>
      <c r="B185" s="2"/>
      <c r="C185" s="2" t="s">
        <v>449</v>
      </c>
      <c r="D185" s="2"/>
      <c r="E185" s="2" t="s">
        <v>439</v>
      </c>
      <c r="F185" s="2">
        <v>1.0</v>
      </c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 t="s">
        <v>448</v>
      </c>
      <c r="B186" s="2"/>
      <c r="C186" s="2" t="s">
        <v>450</v>
      </c>
      <c r="D186" s="2"/>
      <c r="E186" s="2" t="s">
        <v>439</v>
      </c>
      <c r="F186" s="2">
        <v>1.0</v>
      </c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 t="s">
        <v>452</v>
      </c>
      <c r="B187" s="2">
        <v>1.0</v>
      </c>
      <c r="C187" s="2" t="s">
        <v>453</v>
      </c>
      <c r="D187" s="2"/>
      <c r="E187" s="2" t="s">
        <v>439</v>
      </c>
      <c r="F187" s="2">
        <v>1.0</v>
      </c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 t="s">
        <v>100</v>
      </c>
      <c r="B188" s="2">
        <v>1.0</v>
      </c>
      <c r="C188" s="2"/>
      <c r="D188" s="2"/>
      <c r="E188" s="2" t="s">
        <v>439</v>
      </c>
      <c r="F188" s="2">
        <v>1.0</v>
      </c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 t="s">
        <v>456</v>
      </c>
      <c r="B189" s="2">
        <v>1.0</v>
      </c>
      <c r="C189" s="2"/>
      <c r="D189" s="2"/>
      <c r="E189" s="2" t="s">
        <v>439</v>
      </c>
      <c r="F189" s="2">
        <v>1.0</v>
      </c>
      <c r="G189" s="2">
        <f>SUM(F172:F189)</f>
        <v>24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 t="s">
        <v>459</v>
      </c>
      <c r="B190" s="2">
        <v>1.0</v>
      </c>
      <c r="C190" s="2"/>
      <c r="D190" s="2"/>
      <c r="E190" s="2" t="s">
        <v>458</v>
      </c>
      <c r="F190" s="2">
        <v>1.0</v>
      </c>
      <c r="G190" s="2">
        <f>SUM(F190)</f>
        <v>1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 t="s">
        <v>460</v>
      </c>
      <c r="B191" s="2">
        <v>1.0</v>
      </c>
      <c r="C191" s="2"/>
      <c r="D191" s="2"/>
      <c r="E191" s="2" t="s">
        <v>461</v>
      </c>
      <c r="F191" s="2">
        <v>4.0</v>
      </c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 t="s">
        <v>460</v>
      </c>
      <c r="B192" s="2"/>
      <c r="C192" s="2" t="s">
        <v>244</v>
      </c>
      <c r="D192" s="2"/>
      <c r="E192" s="2" t="s">
        <v>461</v>
      </c>
      <c r="F192" s="2">
        <v>1.0</v>
      </c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 t="s">
        <v>462</v>
      </c>
      <c r="B193" s="2">
        <v>1.0</v>
      </c>
      <c r="C193" s="2"/>
      <c r="D193" s="2"/>
      <c r="E193" s="2" t="s">
        <v>461</v>
      </c>
      <c r="F193" s="2">
        <v>1.0</v>
      </c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 t="s">
        <v>462</v>
      </c>
      <c r="B194" s="2"/>
      <c r="C194" s="2" t="s">
        <v>138</v>
      </c>
      <c r="D194" s="2"/>
      <c r="E194" s="2" t="s">
        <v>461</v>
      </c>
      <c r="F194" s="2">
        <v>1.0</v>
      </c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 t="s">
        <v>462</v>
      </c>
      <c r="B195" s="2"/>
      <c r="C195" s="2" t="s">
        <v>137</v>
      </c>
      <c r="D195" s="2"/>
      <c r="E195" s="2" t="s">
        <v>461</v>
      </c>
      <c r="F195" s="2">
        <v>1.0</v>
      </c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 t="s">
        <v>463</v>
      </c>
      <c r="B196" s="2">
        <v>1.0</v>
      </c>
      <c r="C196" s="2"/>
      <c r="D196" s="2"/>
      <c r="E196" s="2" t="s">
        <v>461</v>
      </c>
      <c r="F196" s="2">
        <v>1.0</v>
      </c>
      <c r="G196" s="2">
        <f>+SUM(F191:F196)</f>
        <v>9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 t="s">
        <v>321</v>
      </c>
      <c r="B197" s="2">
        <v>1.0</v>
      </c>
      <c r="C197" s="2"/>
      <c r="D197" s="2"/>
      <c r="E197" s="2" t="s">
        <v>470</v>
      </c>
      <c r="F197" s="2">
        <v>1.0</v>
      </c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 t="s">
        <v>321</v>
      </c>
      <c r="B198" s="2"/>
      <c r="C198" s="2" t="s">
        <v>35</v>
      </c>
      <c r="D198" s="2"/>
      <c r="E198" s="2" t="s">
        <v>470</v>
      </c>
      <c r="F198" s="2">
        <v>1.0</v>
      </c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 t="s">
        <v>327</v>
      </c>
      <c r="B199" s="2">
        <v>1.0</v>
      </c>
      <c r="C199" s="2"/>
      <c r="D199" s="2"/>
      <c r="E199" s="2" t="s">
        <v>470</v>
      </c>
      <c r="F199" s="2">
        <v>1.0</v>
      </c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 t="s">
        <v>180</v>
      </c>
      <c r="B200" s="2">
        <v>1.0</v>
      </c>
      <c r="C200" s="2"/>
      <c r="D200" s="2"/>
      <c r="E200" s="2" t="s">
        <v>470</v>
      </c>
      <c r="F200" s="2">
        <v>1.0</v>
      </c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 t="s">
        <v>180</v>
      </c>
      <c r="B201" s="2"/>
      <c r="C201" s="2" t="s">
        <v>244</v>
      </c>
      <c r="D201" s="2"/>
      <c r="E201" s="2" t="s">
        <v>470</v>
      </c>
      <c r="F201" s="2">
        <v>1.0</v>
      </c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 t="s">
        <v>369</v>
      </c>
      <c r="B202" s="2">
        <v>1.0</v>
      </c>
      <c r="C202" s="2"/>
      <c r="D202" s="2"/>
      <c r="E202" s="2" t="s">
        <v>470</v>
      </c>
      <c r="F202" s="2">
        <v>1.0</v>
      </c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 t="s">
        <v>83</v>
      </c>
      <c r="B203" s="2">
        <v>1.0</v>
      </c>
      <c r="C203" s="2"/>
      <c r="D203" s="2"/>
      <c r="E203" s="2" t="s">
        <v>470</v>
      </c>
      <c r="F203" s="2">
        <v>1.0</v>
      </c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 t="s">
        <v>83</v>
      </c>
      <c r="B204" s="2"/>
      <c r="C204" s="2" t="s">
        <v>471</v>
      </c>
      <c r="D204" s="2"/>
      <c r="E204" s="2" t="s">
        <v>470</v>
      </c>
      <c r="F204" s="2">
        <v>1.0</v>
      </c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 t="s">
        <v>472</v>
      </c>
      <c r="B205" s="2">
        <v>1.0</v>
      </c>
      <c r="C205" s="2"/>
      <c r="D205" s="2"/>
      <c r="E205" s="2" t="s">
        <v>470</v>
      </c>
      <c r="F205" s="2">
        <v>1.0</v>
      </c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 t="s">
        <v>473</v>
      </c>
      <c r="B206" s="2">
        <v>1.0</v>
      </c>
      <c r="C206" s="2"/>
      <c r="D206" s="2"/>
      <c r="E206" s="2" t="s">
        <v>470</v>
      </c>
      <c r="F206" s="2">
        <v>1.0</v>
      </c>
      <c r="G206" s="2">
        <f>+SUM(F197:F206)</f>
        <v>10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 t="s">
        <v>468</v>
      </c>
      <c r="B207" s="2">
        <v>1.0</v>
      </c>
      <c r="C207" s="2"/>
      <c r="D207" s="2"/>
      <c r="E207" s="2" t="s">
        <v>465</v>
      </c>
      <c r="F207" s="2">
        <v>1.0</v>
      </c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 t="s">
        <v>469</v>
      </c>
      <c r="B208" s="2">
        <v>1.0</v>
      </c>
      <c r="C208" s="2"/>
      <c r="D208" s="2"/>
      <c r="E208" s="2" t="s">
        <v>465</v>
      </c>
      <c r="F208" s="2">
        <v>1.0</v>
      </c>
      <c r="G208" s="2">
        <f>+SUM(F207:F208)</f>
        <v>2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 t="s">
        <v>477</v>
      </c>
      <c r="B209" s="2">
        <v>1.0</v>
      </c>
      <c r="C209" s="2"/>
      <c r="D209" s="2"/>
      <c r="E209" s="2" t="s">
        <v>478</v>
      </c>
      <c r="F209" s="2">
        <v>1.0</v>
      </c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 t="s">
        <v>479</v>
      </c>
      <c r="B210" s="2">
        <v>1.0</v>
      </c>
      <c r="C210" s="2" t="s">
        <v>816</v>
      </c>
      <c r="D210" s="2"/>
      <c r="E210" s="2" t="s">
        <v>478</v>
      </c>
      <c r="F210" s="2">
        <v>1.0</v>
      </c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 t="s">
        <v>479</v>
      </c>
      <c r="B211" s="2"/>
      <c r="C211" s="2" t="s">
        <v>481</v>
      </c>
      <c r="D211" s="2"/>
      <c r="E211" s="2" t="s">
        <v>478</v>
      </c>
      <c r="F211" s="2">
        <v>1.0</v>
      </c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 t="s">
        <v>479</v>
      </c>
      <c r="B212" s="2"/>
      <c r="C212" s="2" t="s">
        <v>482</v>
      </c>
      <c r="D212" s="2"/>
      <c r="E212" s="2" t="s">
        <v>478</v>
      </c>
      <c r="F212" s="2">
        <v>1.0</v>
      </c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 t="s">
        <v>485</v>
      </c>
      <c r="B213" s="2">
        <v>1.0</v>
      </c>
      <c r="C213" s="2" t="s">
        <v>282</v>
      </c>
      <c r="D213" s="2"/>
      <c r="E213" s="2" t="s">
        <v>478</v>
      </c>
      <c r="F213" s="2">
        <v>1.0</v>
      </c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 t="s">
        <v>486</v>
      </c>
      <c r="B214" s="2">
        <v>1.0</v>
      </c>
      <c r="C214" s="2" t="s">
        <v>39</v>
      </c>
      <c r="D214" s="2"/>
      <c r="E214" s="2" t="s">
        <v>478</v>
      </c>
      <c r="F214" s="2">
        <v>1.0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 t="s">
        <v>486</v>
      </c>
      <c r="B215" s="2"/>
      <c r="C215" s="2" t="s">
        <v>487</v>
      </c>
      <c r="D215" s="2"/>
      <c r="E215" s="2" t="s">
        <v>478</v>
      </c>
      <c r="F215" s="2">
        <v>1.0</v>
      </c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 t="s">
        <v>492</v>
      </c>
      <c r="B216" s="2">
        <v>1.0</v>
      </c>
      <c r="C216" s="2"/>
      <c r="D216" s="2"/>
      <c r="E216" s="2" t="s">
        <v>478</v>
      </c>
      <c r="F216" s="2">
        <v>1.0</v>
      </c>
      <c r="G216" s="2">
        <f>+SUM(F209:F216)</f>
        <v>8</v>
      </c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 t="s">
        <v>494</v>
      </c>
      <c r="B217" s="2">
        <v>1.0</v>
      </c>
      <c r="C217" s="2"/>
      <c r="D217" s="2"/>
      <c r="E217" s="2" t="s">
        <v>495</v>
      </c>
      <c r="F217" s="2">
        <v>1.0</v>
      </c>
      <c r="G217" s="2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 t="s">
        <v>496</v>
      </c>
      <c r="B218" s="2">
        <v>1.0</v>
      </c>
      <c r="C218" s="2"/>
      <c r="D218" s="2"/>
      <c r="E218" s="2" t="s">
        <v>495</v>
      </c>
      <c r="F218" s="2">
        <v>1.0</v>
      </c>
      <c r="G218" s="2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 t="s">
        <v>498</v>
      </c>
      <c r="B219" s="2">
        <v>1.0</v>
      </c>
      <c r="C219" s="2"/>
      <c r="D219" s="2"/>
      <c r="E219" s="2" t="s">
        <v>495</v>
      </c>
      <c r="F219" s="2">
        <v>1.0</v>
      </c>
      <c r="G219" s="2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 t="s">
        <v>499</v>
      </c>
      <c r="B220" s="2">
        <v>1.0</v>
      </c>
      <c r="C220" s="2"/>
      <c r="D220" s="2"/>
      <c r="E220" s="2" t="s">
        <v>495</v>
      </c>
      <c r="F220" s="2">
        <v>1.0</v>
      </c>
      <c r="G220" s="2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 t="s">
        <v>500</v>
      </c>
      <c r="B221" s="2">
        <v>1.0</v>
      </c>
      <c r="C221" s="2"/>
      <c r="D221" s="2"/>
      <c r="E221" s="2" t="s">
        <v>495</v>
      </c>
      <c r="F221" s="2">
        <v>1.0</v>
      </c>
      <c r="G221" s="2"/>
      <c r="H221" s="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 t="s">
        <v>503</v>
      </c>
      <c r="B222" s="2">
        <v>1.0</v>
      </c>
      <c r="C222" s="2"/>
      <c r="D222" s="2"/>
      <c r="E222" s="2" t="s">
        <v>495</v>
      </c>
      <c r="F222" s="2">
        <v>1.0</v>
      </c>
      <c r="G222" s="2"/>
      <c r="H222" s="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 t="s">
        <v>504</v>
      </c>
      <c r="B223" s="2">
        <v>1.0</v>
      </c>
      <c r="C223" s="2"/>
      <c r="D223" s="2"/>
      <c r="E223" s="2" t="s">
        <v>495</v>
      </c>
      <c r="F223" s="2">
        <v>6.0</v>
      </c>
      <c r="G223" s="2"/>
      <c r="H223" s="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 t="s">
        <v>504</v>
      </c>
      <c r="B224" s="2"/>
      <c r="C224" s="2" t="s">
        <v>244</v>
      </c>
      <c r="D224" s="2"/>
      <c r="E224" s="2" t="s">
        <v>495</v>
      </c>
      <c r="F224" s="2">
        <v>2.0</v>
      </c>
      <c r="G224" s="2"/>
      <c r="H224" s="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 t="s">
        <v>504</v>
      </c>
      <c r="B225" s="2"/>
      <c r="C225" s="2">
        <v>66.0</v>
      </c>
      <c r="D225" s="2"/>
      <c r="E225" s="2" t="s">
        <v>495</v>
      </c>
      <c r="F225" s="2">
        <v>1.0</v>
      </c>
      <c r="G225" s="2"/>
      <c r="H225" s="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 t="s">
        <v>507</v>
      </c>
      <c r="B226" s="2">
        <v>1.0</v>
      </c>
      <c r="C226" s="2"/>
      <c r="D226" s="2"/>
      <c r="E226" s="2" t="s">
        <v>495</v>
      </c>
      <c r="F226" s="2">
        <v>1.0</v>
      </c>
      <c r="G226" s="2"/>
      <c r="H226" s="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 t="s">
        <v>508</v>
      </c>
      <c r="B227" s="2">
        <v>1.0</v>
      </c>
      <c r="C227" s="2"/>
      <c r="D227" s="2"/>
      <c r="E227" s="2" t="s">
        <v>495</v>
      </c>
      <c r="F227" s="2">
        <v>1.0</v>
      </c>
      <c r="G227" s="2"/>
      <c r="H227" s="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 t="s">
        <v>508</v>
      </c>
      <c r="B228" s="2"/>
      <c r="C228" s="2" t="s">
        <v>244</v>
      </c>
      <c r="D228" s="2"/>
      <c r="E228" s="2" t="s">
        <v>495</v>
      </c>
      <c r="F228" s="2">
        <v>1.0</v>
      </c>
      <c r="G228" s="2"/>
      <c r="H228" s="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 t="s">
        <v>442</v>
      </c>
      <c r="B229" s="2">
        <v>1.0</v>
      </c>
      <c r="C229" s="2"/>
      <c r="D229" s="2"/>
      <c r="E229" s="2" t="s">
        <v>495</v>
      </c>
      <c r="F229" s="2">
        <v>1.0</v>
      </c>
      <c r="G229" s="2"/>
      <c r="H229" s="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 t="s">
        <v>442</v>
      </c>
      <c r="B230" s="2"/>
      <c r="C230" s="2" t="s">
        <v>244</v>
      </c>
      <c r="D230" s="2"/>
      <c r="E230" s="2" t="s">
        <v>495</v>
      </c>
      <c r="F230" s="2">
        <v>1.0</v>
      </c>
      <c r="G230" s="2"/>
      <c r="H230" s="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 t="s">
        <v>509</v>
      </c>
      <c r="B231" s="2">
        <v>1.0</v>
      </c>
      <c r="C231" s="2" t="s">
        <v>244</v>
      </c>
      <c r="D231" s="2"/>
      <c r="E231" s="2" t="s">
        <v>495</v>
      </c>
      <c r="F231" s="2">
        <v>1.0</v>
      </c>
      <c r="G231" s="2"/>
      <c r="H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 t="s">
        <v>510</v>
      </c>
      <c r="B232" s="2">
        <v>1.0</v>
      </c>
      <c r="C232" s="2"/>
      <c r="D232" s="2"/>
      <c r="E232" s="2" t="s">
        <v>495</v>
      </c>
      <c r="F232" s="2">
        <v>1.0</v>
      </c>
      <c r="G232" s="2"/>
      <c r="H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 t="s">
        <v>512</v>
      </c>
      <c r="B233" s="2">
        <v>1.0</v>
      </c>
      <c r="C233" s="2"/>
      <c r="D233" s="2"/>
      <c r="E233" s="2" t="s">
        <v>495</v>
      </c>
      <c r="F233" s="2">
        <v>1.0</v>
      </c>
      <c r="G233" s="2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 t="s">
        <v>513</v>
      </c>
      <c r="B234" s="2">
        <v>1.0</v>
      </c>
      <c r="C234" s="2" t="s">
        <v>244</v>
      </c>
      <c r="D234" s="2"/>
      <c r="E234" s="2" t="s">
        <v>495</v>
      </c>
      <c r="F234" s="2">
        <v>1.0</v>
      </c>
      <c r="G234" s="2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 t="s">
        <v>514</v>
      </c>
      <c r="B235" s="2">
        <v>1.0</v>
      </c>
      <c r="C235" s="2"/>
      <c r="D235" s="2"/>
      <c r="E235" s="2" t="s">
        <v>495</v>
      </c>
      <c r="F235" s="2">
        <v>1.0</v>
      </c>
      <c r="G235" s="2"/>
      <c r="H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 t="s">
        <v>372</v>
      </c>
      <c r="B236" s="2">
        <v>1.0</v>
      </c>
      <c r="C236" s="2"/>
      <c r="D236" s="2"/>
      <c r="E236" s="2" t="s">
        <v>495</v>
      </c>
      <c r="F236" s="2">
        <v>1.0</v>
      </c>
      <c r="G236" s="2"/>
      <c r="H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 t="s">
        <v>515</v>
      </c>
      <c r="B237" s="2">
        <v>1.0</v>
      </c>
      <c r="C237" s="2"/>
      <c r="D237" s="2"/>
      <c r="E237" s="2" t="s">
        <v>495</v>
      </c>
      <c r="F237" s="2">
        <v>1.0</v>
      </c>
      <c r="G237" s="2"/>
      <c r="H237" s="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 t="s">
        <v>516</v>
      </c>
      <c r="B238" s="2">
        <v>1.0</v>
      </c>
      <c r="C238" s="2"/>
      <c r="D238" s="2"/>
      <c r="E238" s="2" t="s">
        <v>495</v>
      </c>
      <c r="F238" s="2">
        <v>1.0</v>
      </c>
      <c r="G238" s="2"/>
      <c r="H238" s="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 t="s">
        <v>517</v>
      </c>
      <c r="B239" s="2">
        <v>1.0</v>
      </c>
      <c r="C239" s="2"/>
      <c r="D239" s="2"/>
      <c r="E239" s="2" t="s">
        <v>495</v>
      </c>
      <c r="F239" s="2">
        <v>1.0</v>
      </c>
      <c r="G239" s="2"/>
      <c r="H239" s="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 t="s">
        <v>518</v>
      </c>
      <c r="B240" s="2">
        <v>1.0</v>
      </c>
      <c r="C240" s="2"/>
      <c r="D240" s="2"/>
      <c r="E240" s="2" t="s">
        <v>495</v>
      </c>
      <c r="F240" s="2">
        <v>1.0</v>
      </c>
      <c r="G240" s="2"/>
      <c r="H240" s="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 t="s">
        <v>519</v>
      </c>
      <c r="B241" s="2">
        <v>1.0</v>
      </c>
      <c r="C241" s="2"/>
      <c r="D241" s="2"/>
      <c r="E241" s="2" t="s">
        <v>495</v>
      </c>
      <c r="F241" s="2">
        <v>2.0</v>
      </c>
      <c r="G241" s="2"/>
      <c r="H241" s="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 t="s">
        <v>519</v>
      </c>
      <c r="B242" s="2"/>
      <c r="C242" s="2" t="s">
        <v>520</v>
      </c>
      <c r="D242" s="2"/>
      <c r="E242" s="2" t="s">
        <v>495</v>
      </c>
      <c r="F242" s="2">
        <v>1.0</v>
      </c>
      <c r="G242" s="2"/>
      <c r="H242" s="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 t="s">
        <v>521</v>
      </c>
      <c r="B243" s="2">
        <v>1.0</v>
      </c>
      <c r="C243" s="2"/>
      <c r="D243" s="2"/>
      <c r="E243" s="2" t="s">
        <v>495</v>
      </c>
      <c r="F243" s="2">
        <v>1.0</v>
      </c>
      <c r="G243" s="2"/>
      <c r="H243" s="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 t="s">
        <v>522</v>
      </c>
      <c r="B244" s="2"/>
      <c r="C244" s="2" t="s">
        <v>523</v>
      </c>
      <c r="D244" s="2"/>
      <c r="E244" s="2" t="s">
        <v>495</v>
      </c>
      <c r="F244" s="2">
        <v>1.0</v>
      </c>
      <c r="G244" s="2"/>
      <c r="H244" s="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 t="s">
        <v>522</v>
      </c>
      <c r="B245" s="2"/>
      <c r="C245" s="2" t="s">
        <v>524</v>
      </c>
      <c r="D245" s="2"/>
      <c r="E245" s="2" t="s">
        <v>495</v>
      </c>
      <c r="F245" s="2">
        <v>1.0</v>
      </c>
      <c r="G245" s="2"/>
      <c r="H245" s="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 t="s">
        <v>525</v>
      </c>
      <c r="B246" s="2">
        <v>1.0</v>
      </c>
      <c r="C246" s="2"/>
      <c r="D246" s="2"/>
      <c r="E246" s="2" t="s">
        <v>495</v>
      </c>
      <c r="F246" s="2">
        <v>1.0</v>
      </c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 t="s">
        <v>526</v>
      </c>
      <c r="B247" s="2">
        <v>1.0</v>
      </c>
      <c r="C247" s="2"/>
      <c r="D247" s="2"/>
      <c r="E247" s="2" t="s">
        <v>495</v>
      </c>
      <c r="F247" s="2">
        <v>1.0</v>
      </c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 t="s">
        <v>526</v>
      </c>
      <c r="B248" s="2"/>
      <c r="C248" s="2" t="s">
        <v>444</v>
      </c>
      <c r="D248" s="2"/>
      <c r="E248" s="2" t="s">
        <v>495</v>
      </c>
      <c r="F248" s="2">
        <v>1.0</v>
      </c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 t="s">
        <v>527</v>
      </c>
      <c r="B249" s="2">
        <v>1.0</v>
      </c>
      <c r="C249" s="2"/>
      <c r="D249" s="2"/>
      <c r="E249" s="2" t="s">
        <v>495</v>
      </c>
      <c r="F249" s="2">
        <v>1.0</v>
      </c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 t="s">
        <v>528</v>
      </c>
      <c r="B250" s="2">
        <v>1.0</v>
      </c>
      <c r="C250" s="2"/>
      <c r="D250" s="2"/>
      <c r="E250" s="2" t="s">
        <v>495</v>
      </c>
      <c r="F250" s="2">
        <v>1.0</v>
      </c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 t="s">
        <v>529</v>
      </c>
      <c r="B251" s="2">
        <v>1.0</v>
      </c>
      <c r="C251" s="2"/>
      <c r="D251" s="2"/>
      <c r="E251" s="2" t="s">
        <v>495</v>
      </c>
      <c r="F251" s="2">
        <v>1.0</v>
      </c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 t="s">
        <v>529</v>
      </c>
      <c r="B252" s="2"/>
      <c r="C252" s="2" t="s">
        <v>244</v>
      </c>
      <c r="D252" s="2"/>
      <c r="E252" s="2" t="s">
        <v>495</v>
      </c>
      <c r="F252" s="2">
        <v>1.0</v>
      </c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 t="s">
        <v>530</v>
      </c>
      <c r="B253" s="2">
        <v>1.0</v>
      </c>
      <c r="C253" s="2"/>
      <c r="D253" s="2"/>
      <c r="E253" s="2" t="s">
        <v>495</v>
      </c>
      <c r="F253" s="2">
        <v>1.0</v>
      </c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 t="s">
        <v>531</v>
      </c>
      <c r="B254" s="2">
        <v>1.0</v>
      </c>
      <c r="C254" s="2"/>
      <c r="D254" s="2"/>
      <c r="E254" s="2" t="s">
        <v>495</v>
      </c>
      <c r="F254" s="2">
        <v>1.0</v>
      </c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 t="s">
        <v>532</v>
      </c>
      <c r="B255" s="2">
        <v>1.0</v>
      </c>
      <c r="C255" s="2"/>
      <c r="D255" s="2"/>
      <c r="E255" s="2" t="s">
        <v>495</v>
      </c>
      <c r="F255" s="2">
        <v>1.0</v>
      </c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 t="s">
        <v>533</v>
      </c>
      <c r="B256" s="2">
        <v>1.0</v>
      </c>
      <c r="C256" s="2"/>
      <c r="D256" s="2"/>
      <c r="E256" s="2" t="s">
        <v>495</v>
      </c>
      <c r="F256" s="2">
        <v>1.0</v>
      </c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 t="s">
        <v>534</v>
      </c>
      <c r="B257" s="2">
        <v>1.0</v>
      </c>
      <c r="C257" s="2"/>
      <c r="D257" s="2"/>
      <c r="E257" s="2" t="s">
        <v>495</v>
      </c>
      <c r="F257" s="2">
        <v>1.0</v>
      </c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 t="s">
        <v>539</v>
      </c>
      <c r="B258" s="2">
        <v>1.0</v>
      </c>
      <c r="C258" s="2"/>
      <c r="D258" s="2"/>
      <c r="E258" s="2" t="s">
        <v>495</v>
      </c>
      <c r="F258" s="2">
        <v>1.0</v>
      </c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 t="s">
        <v>540</v>
      </c>
      <c r="B259" s="2">
        <v>1.0</v>
      </c>
      <c r="C259" s="2"/>
      <c r="D259" s="2"/>
      <c r="E259" s="2" t="s">
        <v>495</v>
      </c>
      <c r="F259" s="2">
        <v>1.0</v>
      </c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 t="s">
        <v>541</v>
      </c>
      <c r="B260" s="2">
        <v>1.0</v>
      </c>
      <c r="C260" s="2"/>
      <c r="D260" s="2"/>
      <c r="E260" s="2" t="s">
        <v>495</v>
      </c>
      <c r="F260" s="2">
        <v>1.0</v>
      </c>
      <c r="G260" s="2">
        <f>SUM(F217:F260)</f>
        <v>51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 t="s">
        <v>545</v>
      </c>
      <c r="B261" s="2">
        <v>1.0</v>
      </c>
      <c r="C261" s="2"/>
      <c r="D261" s="2"/>
      <c r="E261" s="2" t="s">
        <v>544</v>
      </c>
      <c r="F261" s="2">
        <v>1.0</v>
      </c>
      <c r="G261" s="2">
        <f>SUM(F261)</f>
        <v>1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 t="s">
        <v>555</v>
      </c>
      <c r="B262" s="2">
        <v>1.0</v>
      </c>
      <c r="C262" s="2"/>
      <c r="D262" s="2"/>
      <c r="E262" s="2" t="s">
        <v>553</v>
      </c>
      <c r="F262" s="2">
        <v>1.0</v>
      </c>
      <c r="G262" s="2">
        <v>1.0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 t="s">
        <v>560</v>
      </c>
      <c r="B263" s="2">
        <v>1.0</v>
      </c>
      <c r="C263" s="2"/>
      <c r="D263" s="2"/>
      <c r="E263" s="2" t="s">
        <v>559</v>
      </c>
      <c r="F263" s="2">
        <v>1.0</v>
      </c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 t="s">
        <v>561</v>
      </c>
      <c r="B264" s="2">
        <v>1.0</v>
      </c>
      <c r="C264" s="2"/>
      <c r="D264" s="2"/>
      <c r="E264" s="2" t="s">
        <v>559</v>
      </c>
      <c r="F264" s="2">
        <v>1.0</v>
      </c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 t="s">
        <v>561</v>
      </c>
      <c r="B265" s="2"/>
      <c r="C265" s="2" t="s">
        <v>562</v>
      </c>
      <c r="D265" s="2"/>
      <c r="E265" s="2" t="s">
        <v>559</v>
      </c>
      <c r="F265" s="2">
        <v>1.0</v>
      </c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 t="s">
        <v>561</v>
      </c>
      <c r="B266" s="2"/>
      <c r="C266" s="2" t="s">
        <v>563</v>
      </c>
      <c r="D266" s="2"/>
      <c r="E266" s="2" t="s">
        <v>559</v>
      </c>
      <c r="F266" s="2">
        <v>1.0</v>
      </c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 t="s">
        <v>564</v>
      </c>
      <c r="B267" s="2">
        <v>1.0</v>
      </c>
      <c r="C267" s="2"/>
      <c r="D267" s="2"/>
      <c r="E267" s="2" t="s">
        <v>559</v>
      </c>
      <c r="F267" s="2">
        <v>1.0</v>
      </c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 t="s">
        <v>565</v>
      </c>
      <c r="B268" s="2"/>
      <c r="C268" s="2"/>
      <c r="D268" s="2"/>
      <c r="E268" s="2" t="s">
        <v>559</v>
      </c>
      <c r="F268" s="2">
        <v>1.0</v>
      </c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 t="s">
        <v>566</v>
      </c>
      <c r="B269" s="2">
        <v>1.0</v>
      </c>
      <c r="C269" s="2" t="s">
        <v>567</v>
      </c>
      <c r="D269" s="2"/>
      <c r="E269" s="2" t="s">
        <v>559</v>
      </c>
      <c r="F269" s="2">
        <v>1.0</v>
      </c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 t="s">
        <v>568</v>
      </c>
      <c r="B270" s="2">
        <v>1.0</v>
      </c>
      <c r="C270" s="2"/>
      <c r="D270" s="2"/>
      <c r="E270" s="2" t="s">
        <v>559</v>
      </c>
      <c r="F270" s="2">
        <v>1.0</v>
      </c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 t="s">
        <v>568</v>
      </c>
      <c r="B271" s="2"/>
      <c r="C271" s="2" t="s">
        <v>569</v>
      </c>
      <c r="D271" s="2"/>
      <c r="E271" s="2" t="s">
        <v>559</v>
      </c>
      <c r="F271" s="2">
        <v>1.0</v>
      </c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 t="s">
        <v>568</v>
      </c>
      <c r="B272" s="2"/>
      <c r="C272" s="2" t="s">
        <v>83</v>
      </c>
      <c r="D272" s="2"/>
      <c r="E272" s="2" t="s">
        <v>559</v>
      </c>
      <c r="F272" s="2">
        <v>1.0</v>
      </c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 t="s">
        <v>568</v>
      </c>
      <c r="B273" s="2"/>
      <c r="C273" s="2" t="s">
        <v>569</v>
      </c>
      <c r="D273" s="2"/>
      <c r="E273" s="2" t="s">
        <v>559</v>
      </c>
      <c r="F273" s="2">
        <v>1.0</v>
      </c>
      <c r="G273" s="2" t="s">
        <v>413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 t="s">
        <v>570</v>
      </c>
      <c r="B274" s="2">
        <v>1.0</v>
      </c>
      <c r="C274" s="2"/>
      <c r="D274" s="2"/>
      <c r="E274" s="2" t="s">
        <v>559</v>
      </c>
      <c r="F274" s="2">
        <v>1.0</v>
      </c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 t="s">
        <v>571</v>
      </c>
      <c r="B275" s="2">
        <v>1.0</v>
      </c>
      <c r="C275" s="2"/>
      <c r="D275" s="2"/>
      <c r="E275" s="2" t="s">
        <v>559</v>
      </c>
      <c r="F275" s="2">
        <v>1.0</v>
      </c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 t="s">
        <v>572</v>
      </c>
      <c r="B276" s="2">
        <v>1.0</v>
      </c>
      <c r="C276" s="2" t="s">
        <v>573</v>
      </c>
      <c r="D276" s="2"/>
      <c r="E276" s="2" t="s">
        <v>559</v>
      </c>
      <c r="F276" s="2">
        <v>1.0</v>
      </c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 t="s">
        <v>574</v>
      </c>
      <c r="B277" s="2">
        <v>1.0</v>
      </c>
      <c r="C277" s="2"/>
      <c r="D277" s="2"/>
      <c r="E277" s="2" t="s">
        <v>559</v>
      </c>
      <c r="F277" s="2">
        <v>1.0</v>
      </c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 t="s">
        <v>563</v>
      </c>
      <c r="B278" s="2">
        <v>1.0</v>
      </c>
      <c r="C278" s="2"/>
      <c r="D278" s="2"/>
      <c r="E278" s="2" t="s">
        <v>559</v>
      </c>
      <c r="F278" s="2">
        <v>1.0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 t="s">
        <v>575</v>
      </c>
      <c r="B279" s="2">
        <v>1.0</v>
      </c>
      <c r="C279" s="2"/>
      <c r="D279" s="2"/>
      <c r="E279" s="2" t="s">
        <v>559</v>
      </c>
      <c r="F279" s="2">
        <v>1.0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 t="s">
        <v>576</v>
      </c>
      <c r="B280" s="2">
        <v>1.0</v>
      </c>
      <c r="C280" s="2"/>
      <c r="D280" s="2"/>
      <c r="E280" s="2" t="s">
        <v>559</v>
      </c>
      <c r="F280" s="2">
        <v>1.0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 t="s">
        <v>577</v>
      </c>
      <c r="B281" s="2">
        <v>1.0</v>
      </c>
      <c r="C281" s="2"/>
      <c r="D281" s="2"/>
      <c r="E281" s="2" t="s">
        <v>559</v>
      </c>
      <c r="F281" s="2">
        <v>1.0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 t="s">
        <v>578</v>
      </c>
      <c r="B282" s="2">
        <v>1.0</v>
      </c>
      <c r="C282" s="2" t="s">
        <v>579</v>
      </c>
      <c r="D282" s="2"/>
      <c r="E282" s="2" t="s">
        <v>559</v>
      </c>
      <c r="F282" s="2">
        <v>1.0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 t="s">
        <v>580</v>
      </c>
      <c r="B283" s="2">
        <v>1.0</v>
      </c>
      <c r="C283" s="7" t="s">
        <v>10</v>
      </c>
      <c r="D283" s="2"/>
      <c r="E283" s="2" t="s">
        <v>559</v>
      </c>
      <c r="F283" s="2">
        <v>1.0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 t="s">
        <v>581</v>
      </c>
      <c r="B284" s="2">
        <v>1.0</v>
      </c>
      <c r="C284" s="2"/>
      <c r="D284" s="2"/>
      <c r="E284" s="2" t="s">
        <v>559</v>
      </c>
      <c r="F284" s="2">
        <v>1.0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 t="s">
        <v>581</v>
      </c>
      <c r="B285" s="2"/>
      <c r="C285" s="2" t="s">
        <v>573</v>
      </c>
      <c r="D285" s="2"/>
      <c r="E285" s="2" t="s">
        <v>559</v>
      </c>
      <c r="F285" s="2">
        <v>1.0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 t="s">
        <v>581</v>
      </c>
      <c r="B286" s="2"/>
      <c r="C286" s="2" t="s">
        <v>92</v>
      </c>
      <c r="D286" s="2"/>
      <c r="E286" s="2" t="s">
        <v>559</v>
      </c>
      <c r="F286" s="2">
        <v>1.0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 t="s">
        <v>581</v>
      </c>
      <c r="B287" s="2"/>
      <c r="C287" s="2" t="s">
        <v>582</v>
      </c>
      <c r="D287" s="2"/>
      <c r="E287" s="2" t="s">
        <v>559</v>
      </c>
      <c r="F287" s="2">
        <v>1.0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 t="s">
        <v>583</v>
      </c>
      <c r="B288" s="2">
        <v>1.0</v>
      </c>
      <c r="C288" s="2" t="s">
        <v>10</v>
      </c>
      <c r="D288" s="2"/>
      <c r="E288" s="2" t="s">
        <v>559</v>
      </c>
      <c r="F288" s="2">
        <v>1.0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 t="s">
        <v>584</v>
      </c>
      <c r="B289" s="2">
        <v>1.0</v>
      </c>
      <c r="C289" s="2"/>
      <c r="D289" s="2"/>
      <c r="E289" s="2" t="s">
        <v>559</v>
      </c>
      <c r="F289" s="2">
        <v>1.0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 t="s">
        <v>412</v>
      </c>
      <c r="B290" s="2">
        <v>1.0</v>
      </c>
      <c r="C290" s="2"/>
      <c r="D290" s="2"/>
      <c r="E290" s="2" t="s">
        <v>559</v>
      </c>
      <c r="F290" s="2">
        <v>1.0</v>
      </c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 t="s">
        <v>585</v>
      </c>
      <c r="B291" s="2">
        <v>1.0</v>
      </c>
      <c r="C291" s="2"/>
      <c r="D291" s="2"/>
      <c r="E291" s="2" t="s">
        <v>559</v>
      </c>
      <c r="F291" s="2">
        <v>1.0</v>
      </c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 t="s">
        <v>585</v>
      </c>
      <c r="B292" s="2"/>
      <c r="C292" s="14">
        <v>0.0</v>
      </c>
      <c r="D292" s="2"/>
      <c r="E292" s="2" t="s">
        <v>559</v>
      </c>
      <c r="F292" s="2">
        <v>1.0</v>
      </c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 t="s">
        <v>586</v>
      </c>
      <c r="B293" s="2">
        <v>1.0</v>
      </c>
      <c r="C293" s="2"/>
      <c r="D293" s="2"/>
      <c r="E293" s="2" t="s">
        <v>559</v>
      </c>
      <c r="F293" s="2">
        <v>1.0</v>
      </c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 t="s">
        <v>587</v>
      </c>
      <c r="B294" s="2">
        <v>1.0</v>
      </c>
      <c r="C294" s="2" t="s">
        <v>588</v>
      </c>
      <c r="D294" s="2"/>
      <c r="E294" s="2" t="s">
        <v>559</v>
      </c>
      <c r="F294" s="2">
        <v>1.0</v>
      </c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 t="s">
        <v>589</v>
      </c>
      <c r="B295" s="2">
        <v>1.0</v>
      </c>
      <c r="C295" s="2"/>
      <c r="D295" s="2"/>
      <c r="E295" s="2" t="s">
        <v>559</v>
      </c>
      <c r="F295" s="2">
        <v>1.0</v>
      </c>
      <c r="G295" s="2">
        <f>SUM(F263:F295)</f>
        <v>33</v>
      </c>
      <c r="H295" s="1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 t="s">
        <v>585</v>
      </c>
      <c r="B296" s="2">
        <v>1.0</v>
      </c>
      <c r="C296" s="2"/>
      <c r="D296" s="2"/>
      <c r="E296" s="2" t="s">
        <v>590</v>
      </c>
      <c r="F296" s="2">
        <v>1.0</v>
      </c>
      <c r="G296" s="2">
        <f>SUM(F296)</f>
        <v>1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 t="s">
        <v>591</v>
      </c>
      <c r="B297" s="2">
        <v>1.0</v>
      </c>
      <c r="C297" s="2"/>
      <c r="D297" s="2"/>
      <c r="E297" s="2" t="s">
        <v>592</v>
      </c>
      <c r="F297" s="2">
        <v>1.0</v>
      </c>
      <c r="G297" s="2">
        <v>1.0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2" t="s">
        <v>593</v>
      </c>
      <c r="B298" s="2">
        <v>1.0</v>
      </c>
      <c r="C298" s="19"/>
      <c r="D298" s="2"/>
      <c r="E298" s="2" t="s">
        <v>594</v>
      </c>
      <c r="F298" s="2">
        <v>1.0</v>
      </c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 t="s">
        <v>597</v>
      </c>
      <c r="B299" s="2">
        <v>1.0</v>
      </c>
      <c r="C299" s="2" t="s">
        <v>563</v>
      </c>
      <c r="D299" s="2"/>
      <c r="E299" s="2" t="s">
        <v>594</v>
      </c>
      <c r="F299" s="2">
        <v>1.0</v>
      </c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 t="s">
        <v>604</v>
      </c>
      <c r="B300" s="2">
        <v>1.0</v>
      </c>
      <c r="C300" s="2"/>
      <c r="D300" s="2"/>
      <c r="E300" s="2" t="s">
        <v>594</v>
      </c>
      <c r="F300" s="2">
        <v>1.0</v>
      </c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 t="s">
        <v>607</v>
      </c>
      <c r="B301" s="2">
        <v>1.0</v>
      </c>
      <c r="C301" s="2" t="s">
        <v>563</v>
      </c>
      <c r="D301" s="2"/>
      <c r="E301" s="2" t="s">
        <v>594</v>
      </c>
      <c r="F301" s="2">
        <v>1.0</v>
      </c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 t="s">
        <v>608</v>
      </c>
      <c r="B302" s="2">
        <v>1.0</v>
      </c>
      <c r="C302" s="2" t="s">
        <v>609</v>
      </c>
      <c r="D302" s="2"/>
      <c r="E302" s="2" t="s">
        <v>594</v>
      </c>
      <c r="F302" s="2">
        <v>1.0</v>
      </c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 t="s">
        <v>610</v>
      </c>
      <c r="B303" s="2">
        <v>1.0</v>
      </c>
      <c r="C303" s="1"/>
      <c r="D303" s="1"/>
      <c r="E303" s="2" t="s">
        <v>594</v>
      </c>
      <c r="F303" s="2">
        <v>1.0</v>
      </c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 t="s">
        <v>616</v>
      </c>
      <c r="B304" s="2">
        <v>1.0</v>
      </c>
      <c r="C304" s="2"/>
      <c r="D304" s="2"/>
      <c r="E304" s="2" t="s">
        <v>594</v>
      </c>
      <c r="F304" s="2">
        <v>1.0</v>
      </c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 t="s">
        <v>617</v>
      </c>
      <c r="B305" s="2">
        <v>1.0</v>
      </c>
      <c r="C305" s="2" t="s">
        <v>573</v>
      </c>
      <c r="D305" s="2"/>
      <c r="E305" s="2" t="s">
        <v>594</v>
      </c>
      <c r="F305" s="2">
        <v>1.0</v>
      </c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 t="s">
        <v>617</v>
      </c>
      <c r="B306" s="2"/>
      <c r="C306" s="2" t="s">
        <v>138</v>
      </c>
      <c r="D306" s="2"/>
      <c r="E306" s="2" t="s">
        <v>594</v>
      </c>
      <c r="F306" s="2">
        <v>1.0</v>
      </c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 t="s">
        <v>617</v>
      </c>
      <c r="B307" s="2"/>
      <c r="C307" s="2" t="s">
        <v>563</v>
      </c>
      <c r="D307" s="2"/>
      <c r="E307" s="2" t="s">
        <v>594</v>
      </c>
      <c r="F307" s="2">
        <v>1.0</v>
      </c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 t="s">
        <v>617</v>
      </c>
      <c r="B308" s="2"/>
      <c r="C308" s="2" t="s">
        <v>618</v>
      </c>
      <c r="D308" s="2"/>
      <c r="E308" s="2" t="s">
        <v>594</v>
      </c>
      <c r="F308" s="2">
        <v>1.0</v>
      </c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 t="s">
        <v>621</v>
      </c>
      <c r="B309" s="2">
        <v>1.0</v>
      </c>
      <c r="C309" s="2"/>
      <c r="D309" s="2"/>
      <c r="E309" s="2" t="s">
        <v>594</v>
      </c>
      <c r="F309" s="2">
        <v>1.0</v>
      </c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 t="s">
        <v>622</v>
      </c>
      <c r="B310" s="2">
        <v>1.0</v>
      </c>
      <c r="C310" s="2" t="s">
        <v>573</v>
      </c>
      <c r="D310" s="2"/>
      <c r="E310" s="2" t="s">
        <v>594</v>
      </c>
      <c r="F310" s="2">
        <v>1.0</v>
      </c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 t="s">
        <v>622</v>
      </c>
      <c r="B311" s="2"/>
      <c r="C311" s="2" t="s">
        <v>623</v>
      </c>
      <c r="D311" s="2"/>
      <c r="E311" s="2" t="s">
        <v>594</v>
      </c>
      <c r="F311" s="2">
        <v>1.0</v>
      </c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 t="s">
        <v>624</v>
      </c>
      <c r="B312" s="2">
        <v>1.0</v>
      </c>
      <c r="C312" s="2"/>
      <c r="D312" s="2"/>
      <c r="E312" s="2" t="s">
        <v>594</v>
      </c>
      <c r="F312" s="2">
        <v>1.0</v>
      </c>
      <c r="G312" s="2">
        <f>SUM(F298:F312)</f>
        <v>15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20" t="s">
        <v>625</v>
      </c>
      <c r="B313" s="9">
        <v>1.0</v>
      </c>
      <c r="C313" s="2"/>
      <c r="D313" s="2"/>
      <c r="E313" s="11" t="s">
        <v>626</v>
      </c>
      <c r="F313" s="9">
        <v>1.0</v>
      </c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20" t="s">
        <v>627</v>
      </c>
      <c r="B314" s="9">
        <v>1.0</v>
      </c>
      <c r="C314" s="2"/>
      <c r="D314" s="2"/>
      <c r="E314" s="11" t="s">
        <v>626</v>
      </c>
      <c r="F314" s="9">
        <v>1.0</v>
      </c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8" t="s">
        <v>628</v>
      </c>
      <c r="B315" s="9">
        <v>1.0</v>
      </c>
      <c r="C315" s="2"/>
      <c r="D315" s="2"/>
      <c r="E315" s="11" t="s">
        <v>626</v>
      </c>
      <c r="F315" s="9">
        <v>1.0</v>
      </c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8" t="s">
        <v>629</v>
      </c>
      <c r="B316" s="9">
        <v>1.0</v>
      </c>
      <c r="C316" s="2"/>
      <c r="D316" s="2"/>
      <c r="E316" s="11" t="s">
        <v>626</v>
      </c>
      <c r="F316" s="9">
        <v>1.0</v>
      </c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8" t="s">
        <v>630</v>
      </c>
      <c r="B317" s="9">
        <v>1.0</v>
      </c>
      <c r="C317" s="2"/>
      <c r="D317" s="2"/>
      <c r="E317" s="11" t="s">
        <v>626</v>
      </c>
      <c r="F317" s="9">
        <v>1.0</v>
      </c>
      <c r="G317" s="2">
        <f>SUM(F313:F317)</f>
        <v>5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 t="s">
        <v>7</v>
      </c>
      <c r="B318" s="2">
        <v>1.0</v>
      </c>
      <c r="C318" s="2"/>
      <c r="D318" s="2"/>
      <c r="E318" s="2" t="s">
        <v>631</v>
      </c>
      <c r="F318" s="2">
        <v>1.0</v>
      </c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 t="s">
        <v>632</v>
      </c>
      <c r="B319" s="2"/>
      <c r="C319" s="2" t="s">
        <v>635</v>
      </c>
      <c r="D319" s="2" t="s">
        <v>636</v>
      </c>
      <c r="E319" s="2" t="s">
        <v>631</v>
      </c>
      <c r="F319" s="2">
        <v>1.0</v>
      </c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 t="s">
        <v>638</v>
      </c>
      <c r="B320" s="2">
        <v>1.0</v>
      </c>
      <c r="C320" s="2"/>
      <c r="D320" s="2"/>
      <c r="E320" s="2" t="s">
        <v>631</v>
      </c>
      <c r="F320" s="2">
        <v>3.0</v>
      </c>
      <c r="G320" s="2"/>
      <c r="H320" s="1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 t="s">
        <v>638</v>
      </c>
      <c r="B321" s="2"/>
      <c r="C321" s="2" t="s">
        <v>573</v>
      </c>
      <c r="D321" s="2"/>
      <c r="E321" s="2" t="s">
        <v>631</v>
      </c>
      <c r="F321" s="2">
        <v>1.0</v>
      </c>
      <c r="G321" s="2"/>
      <c r="H321" s="1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 t="s">
        <v>638</v>
      </c>
      <c r="B322" s="2"/>
      <c r="C322" s="2" t="s">
        <v>244</v>
      </c>
      <c r="D322" s="2"/>
      <c r="E322" s="2" t="s">
        <v>631</v>
      </c>
      <c r="F322" s="2">
        <v>1.0</v>
      </c>
      <c r="G322" s="2"/>
      <c r="H322" s="1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 t="s">
        <v>638</v>
      </c>
      <c r="B323" s="2"/>
      <c r="C323" s="2" t="s">
        <v>639</v>
      </c>
      <c r="D323" s="2"/>
      <c r="E323" s="2" t="s">
        <v>631</v>
      </c>
      <c r="F323" s="2">
        <v>1.0</v>
      </c>
      <c r="G323" s="2"/>
      <c r="H323" s="1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 t="s">
        <v>640</v>
      </c>
      <c r="B324" s="2">
        <v>1.0</v>
      </c>
      <c r="C324" s="2" t="s">
        <v>641</v>
      </c>
      <c r="D324" s="2"/>
      <c r="E324" s="2" t="s">
        <v>631</v>
      </c>
      <c r="F324" s="2">
        <v>2.0</v>
      </c>
      <c r="G324" s="2"/>
      <c r="H324" s="1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 t="s">
        <v>640</v>
      </c>
      <c r="B325" s="2"/>
      <c r="C325" s="2" t="s">
        <v>645</v>
      </c>
      <c r="D325" s="2"/>
      <c r="E325" s="2" t="s">
        <v>631</v>
      </c>
      <c r="F325" s="2">
        <v>1.0</v>
      </c>
      <c r="G325" s="2"/>
      <c r="H325" s="1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 t="s">
        <v>646</v>
      </c>
      <c r="B326" s="2">
        <v>1.0</v>
      </c>
      <c r="C326" s="2"/>
      <c r="D326" s="2"/>
      <c r="E326" s="2" t="s">
        <v>631</v>
      </c>
      <c r="F326" s="2">
        <v>1.0</v>
      </c>
      <c r="G326" s="2"/>
      <c r="H326" s="1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 t="s">
        <v>321</v>
      </c>
      <c r="B327" s="2">
        <v>1.0</v>
      </c>
      <c r="C327" s="2"/>
      <c r="D327" s="2"/>
      <c r="E327" s="2" t="s">
        <v>631</v>
      </c>
      <c r="F327" s="2">
        <v>2.0</v>
      </c>
      <c r="G327" s="2"/>
      <c r="H327" s="1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 t="s">
        <v>321</v>
      </c>
      <c r="B328" s="2"/>
      <c r="C328" s="2" t="s">
        <v>648</v>
      </c>
      <c r="D328" s="2"/>
      <c r="E328" s="2" t="s">
        <v>631</v>
      </c>
      <c r="F328" s="2">
        <v>1.0</v>
      </c>
      <c r="G328" s="2"/>
      <c r="H328" s="1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 t="s">
        <v>650</v>
      </c>
      <c r="B329" s="2">
        <v>1.0</v>
      </c>
      <c r="C329" s="2"/>
      <c r="D329" s="2"/>
      <c r="E329" s="2" t="s">
        <v>631</v>
      </c>
      <c r="F329" s="2">
        <v>1.0</v>
      </c>
      <c r="G329" s="2"/>
      <c r="H329" s="1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 t="s">
        <v>651</v>
      </c>
      <c r="B330" s="2">
        <v>1.0</v>
      </c>
      <c r="C330" s="2"/>
      <c r="D330" s="2"/>
      <c r="E330" s="2" t="s">
        <v>631</v>
      </c>
      <c r="F330" s="2">
        <v>2.0</v>
      </c>
      <c r="G330" s="2"/>
      <c r="H330" s="1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 t="s">
        <v>652</v>
      </c>
      <c r="B331" s="2">
        <v>1.0</v>
      </c>
      <c r="C331" s="2"/>
      <c r="D331" s="2"/>
      <c r="E331" s="2" t="s">
        <v>631</v>
      </c>
      <c r="F331" s="2">
        <v>1.0</v>
      </c>
      <c r="G331" s="2"/>
      <c r="H331" s="1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 t="s">
        <v>652</v>
      </c>
      <c r="B332" s="2"/>
      <c r="C332" s="2" t="s">
        <v>31</v>
      </c>
      <c r="D332" s="2"/>
      <c r="E332" s="2" t="s">
        <v>631</v>
      </c>
      <c r="F332" s="2">
        <v>1.0</v>
      </c>
      <c r="G332" s="2"/>
      <c r="H332" s="1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 t="s">
        <v>653</v>
      </c>
      <c r="B333" s="2">
        <v>1.0</v>
      </c>
      <c r="C333" s="2"/>
      <c r="D333" s="2"/>
      <c r="E333" s="2" t="s">
        <v>631</v>
      </c>
      <c r="F333" s="2">
        <v>1.0</v>
      </c>
      <c r="G333" s="2"/>
      <c r="H333" s="1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 t="s">
        <v>656</v>
      </c>
      <c r="B334" s="2">
        <v>1.0</v>
      </c>
      <c r="C334" s="2"/>
      <c r="D334" s="2"/>
      <c r="E334" s="2" t="s">
        <v>631</v>
      </c>
      <c r="F334" s="2">
        <v>1.0</v>
      </c>
      <c r="G334" s="2"/>
      <c r="H334" s="1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 t="s">
        <v>657</v>
      </c>
      <c r="B335" s="2">
        <v>1.0</v>
      </c>
      <c r="C335" s="2"/>
      <c r="D335" s="2"/>
      <c r="E335" s="2" t="s">
        <v>631</v>
      </c>
      <c r="F335" s="2">
        <v>8.0</v>
      </c>
      <c r="G335" s="2"/>
      <c r="H335" s="1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 t="s">
        <v>658</v>
      </c>
      <c r="B336" s="2">
        <v>1.0</v>
      </c>
      <c r="C336" s="2"/>
      <c r="D336" s="2"/>
      <c r="E336" s="2" t="s">
        <v>631</v>
      </c>
      <c r="F336" s="2">
        <v>1.0</v>
      </c>
      <c r="G336" s="2"/>
      <c r="H336" s="1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 t="s">
        <v>660</v>
      </c>
      <c r="B337" s="2">
        <v>1.0</v>
      </c>
      <c r="C337" s="2"/>
      <c r="D337" s="2"/>
      <c r="E337" s="2" t="s">
        <v>631</v>
      </c>
      <c r="F337" s="2">
        <v>1.0</v>
      </c>
      <c r="G337" s="2"/>
      <c r="H337" s="1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 t="s">
        <v>661</v>
      </c>
      <c r="B338" s="2">
        <v>1.0</v>
      </c>
      <c r="C338" s="2"/>
      <c r="D338" s="2"/>
      <c r="E338" s="2" t="s">
        <v>631</v>
      </c>
      <c r="F338" s="2">
        <v>1.0</v>
      </c>
      <c r="G338" s="2"/>
      <c r="H338" s="1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 t="s">
        <v>663</v>
      </c>
      <c r="B339" s="2">
        <v>1.0</v>
      </c>
      <c r="C339" s="2"/>
      <c r="D339" s="2"/>
      <c r="E339" s="2" t="s">
        <v>631</v>
      </c>
      <c r="F339" s="2">
        <v>1.0</v>
      </c>
      <c r="G339" s="2"/>
      <c r="H339" s="1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 t="s">
        <v>664</v>
      </c>
      <c r="B340" s="2">
        <v>1.0</v>
      </c>
      <c r="C340" s="2"/>
      <c r="D340" s="2"/>
      <c r="E340" s="2" t="s">
        <v>631</v>
      </c>
      <c r="F340" s="2">
        <v>2.0</v>
      </c>
      <c r="G340" s="2"/>
      <c r="H340" s="1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 t="s">
        <v>669</v>
      </c>
      <c r="B341" s="2">
        <v>1.0</v>
      </c>
      <c r="C341" s="2"/>
      <c r="D341" s="2"/>
      <c r="E341" s="2" t="s">
        <v>631</v>
      </c>
      <c r="F341" s="2">
        <v>1.0</v>
      </c>
      <c r="G341" s="2"/>
      <c r="H341" s="1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 t="s">
        <v>412</v>
      </c>
      <c r="B342" s="2">
        <v>1.0</v>
      </c>
      <c r="C342" s="2"/>
      <c r="D342" s="2"/>
      <c r="E342" s="2" t="s">
        <v>631</v>
      </c>
      <c r="F342" s="2">
        <v>1.0</v>
      </c>
      <c r="G342" s="2">
        <f>SUM(F318:F342)</f>
        <v>38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 t="s">
        <v>683</v>
      </c>
      <c r="B343" s="2">
        <v>1.0</v>
      </c>
      <c r="C343" s="2"/>
      <c r="D343" s="2"/>
      <c r="E343" s="2" t="s">
        <v>678</v>
      </c>
      <c r="F343" s="2">
        <v>1.0</v>
      </c>
      <c r="G343" s="2">
        <f t="shared" ref="G343:G344" si="1">SUM(F343)</f>
        <v>1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 t="s">
        <v>701</v>
      </c>
      <c r="B344" s="2">
        <v>1.0</v>
      </c>
      <c r="C344" s="2" t="s">
        <v>703</v>
      </c>
      <c r="D344" s="2"/>
      <c r="E344" s="2" t="s">
        <v>702</v>
      </c>
      <c r="F344" s="2">
        <v>1.0</v>
      </c>
      <c r="G344" s="2">
        <f t="shared" si="1"/>
        <v>1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 t="s">
        <v>706</v>
      </c>
      <c r="B345" s="2">
        <v>1.0</v>
      </c>
      <c r="C345" s="2" t="s">
        <v>707</v>
      </c>
      <c r="D345" s="2"/>
      <c r="E345" s="2" t="s">
        <v>708</v>
      </c>
      <c r="F345" s="2">
        <v>1.0</v>
      </c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 t="s">
        <v>710</v>
      </c>
      <c r="B346" s="2">
        <v>1.0</v>
      </c>
      <c r="C346" s="2"/>
      <c r="D346" s="2"/>
      <c r="E346" s="2" t="s">
        <v>708</v>
      </c>
      <c r="F346" s="2">
        <v>1.0</v>
      </c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 t="s">
        <v>711</v>
      </c>
      <c r="B347" s="2">
        <v>1.0</v>
      </c>
      <c r="C347" s="2"/>
      <c r="D347" s="2"/>
      <c r="E347" s="2" t="s">
        <v>708</v>
      </c>
      <c r="F347" s="2">
        <v>1.0</v>
      </c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 t="s">
        <v>712</v>
      </c>
      <c r="B348" s="2">
        <v>1.0</v>
      </c>
      <c r="C348" s="2"/>
      <c r="D348" s="2"/>
      <c r="E348" s="2" t="s">
        <v>708</v>
      </c>
      <c r="F348" s="2">
        <v>1.0</v>
      </c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 t="s">
        <v>713</v>
      </c>
      <c r="B349" s="2">
        <v>1.0</v>
      </c>
      <c r="C349" s="2"/>
      <c r="D349" s="2"/>
      <c r="E349" s="2" t="s">
        <v>708</v>
      </c>
      <c r="F349" s="2">
        <v>1.0</v>
      </c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 t="s">
        <v>714</v>
      </c>
      <c r="B350" s="2">
        <v>1.0</v>
      </c>
      <c r="C350" s="2"/>
      <c r="D350" s="2"/>
      <c r="E350" s="2" t="s">
        <v>708</v>
      </c>
      <c r="F350" s="2">
        <v>1.0</v>
      </c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 t="s">
        <v>715</v>
      </c>
      <c r="B351" s="2">
        <v>1.0</v>
      </c>
      <c r="C351" s="2"/>
      <c r="D351" s="2"/>
      <c r="E351" s="2" t="s">
        <v>708</v>
      </c>
      <c r="F351" s="2">
        <v>1.0</v>
      </c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 t="s">
        <v>716</v>
      </c>
      <c r="B352" s="2">
        <v>1.0</v>
      </c>
      <c r="C352" s="2"/>
      <c r="D352" s="2"/>
      <c r="E352" s="2" t="s">
        <v>717</v>
      </c>
      <c r="F352" s="2">
        <v>1.0</v>
      </c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 t="s">
        <v>708</v>
      </c>
      <c r="B353" s="2">
        <v>1.0</v>
      </c>
      <c r="C353" s="2"/>
      <c r="D353" s="2"/>
      <c r="E353" s="2" t="s">
        <v>708</v>
      </c>
      <c r="F353" s="2">
        <v>1.0</v>
      </c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 t="s">
        <v>719</v>
      </c>
      <c r="B354" s="2">
        <v>1.0</v>
      </c>
      <c r="C354" s="2"/>
      <c r="D354" s="2"/>
      <c r="E354" s="2" t="s">
        <v>708</v>
      </c>
      <c r="F354" s="2">
        <v>1.0</v>
      </c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 t="s">
        <v>721</v>
      </c>
      <c r="B355" s="2">
        <v>1.0</v>
      </c>
      <c r="C355" s="2"/>
      <c r="D355" s="2"/>
      <c r="E355" s="2" t="s">
        <v>708</v>
      </c>
      <c r="F355" s="2">
        <v>1.0</v>
      </c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 t="s">
        <v>720</v>
      </c>
      <c r="B356" s="2">
        <v>1.0</v>
      </c>
      <c r="C356" s="2"/>
      <c r="D356" s="2"/>
      <c r="E356" s="2" t="s">
        <v>708</v>
      </c>
      <c r="F356" s="2">
        <v>1.0</v>
      </c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 t="s">
        <v>722</v>
      </c>
      <c r="B357" s="2">
        <v>1.0</v>
      </c>
      <c r="C357" s="2"/>
      <c r="D357" s="2"/>
      <c r="E357" s="2" t="s">
        <v>708</v>
      </c>
      <c r="F357" s="2">
        <v>1.0</v>
      </c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 t="s">
        <v>723</v>
      </c>
      <c r="B358" s="2">
        <v>1.0</v>
      </c>
      <c r="C358" s="2"/>
      <c r="D358" s="2"/>
      <c r="E358" s="2" t="s">
        <v>708</v>
      </c>
      <c r="F358" s="2">
        <v>1.0</v>
      </c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 t="s">
        <v>724</v>
      </c>
      <c r="B359" s="2">
        <v>1.0</v>
      </c>
      <c r="C359" s="2"/>
      <c r="D359" s="2"/>
      <c r="E359" s="2" t="s">
        <v>708</v>
      </c>
      <c r="F359" s="2">
        <v>1.0</v>
      </c>
      <c r="G359" s="2">
        <f>SUM(F345:F359)</f>
        <v>15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 t="s">
        <v>725</v>
      </c>
      <c r="B360" s="2">
        <v>1.0</v>
      </c>
      <c r="C360" s="2"/>
      <c r="D360" s="2"/>
      <c r="E360" s="2" t="s">
        <v>726</v>
      </c>
      <c r="F360" s="2">
        <v>1.0</v>
      </c>
      <c r="G360" s="2">
        <f>SUM(F360)</f>
        <v>1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 t="s">
        <v>731</v>
      </c>
      <c r="B361" s="2">
        <v>1.0</v>
      </c>
      <c r="C361" s="2"/>
      <c r="D361" s="2"/>
      <c r="E361" s="2" t="s">
        <v>732</v>
      </c>
      <c r="F361" s="2">
        <v>1.0</v>
      </c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 t="s">
        <v>733</v>
      </c>
      <c r="B362" s="2">
        <v>1.0</v>
      </c>
      <c r="C362" s="2"/>
      <c r="D362" s="2"/>
      <c r="E362" s="2" t="s">
        <v>732</v>
      </c>
      <c r="F362" s="2">
        <v>2.0</v>
      </c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 t="s">
        <v>734</v>
      </c>
      <c r="B363" s="2">
        <v>1.0</v>
      </c>
      <c r="C363" s="2"/>
      <c r="D363" s="2"/>
      <c r="E363" s="2" t="s">
        <v>732</v>
      </c>
      <c r="F363" s="2">
        <v>1.0</v>
      </c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 t="s">
        <v>735</v>
      </c>
      <c r="B364" s="2">
        <v>1.0</v>
      </c>
      <c r="C364" s="2" t="s">
        <v>244</v>
      </c>
      <c r="D364" s="2"/>
      <c r="E364" s="2" t="s">
        <v>732</v>
      </c>
      <c r="F364" s="2">
        <v>1.0</v>
      </c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 t="s">
        <v>736</v>
      </c>
      <c r="B365" s="2">
        <v>1.0</v>
      </c>
      <c r="C365" s="2"/>
      <c r="D365" s="2"/>
      <c r="E365" s="2" t="s">
        <v>732</v>
      </c>
      <c r="F365" s="2">
        <v>1.0</v>
      </c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 t="s">
        <v>2</v>
      </c>
      <c r="B366" s="2">
        <v>1.0</v>
      </c>
      <c r="C366" s="2"/>
      <c r="D366" s="2"/>
      <c r="E366" s="2" t="s">
        <v>732</v>
      </c>
      <c r="F366" s="2">
        <v>1.0</v>
      </c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 t="s">
        <v>737</v>
      </c>
      <c r="B367" s="2"/>
      <c r="C367" s="2" t="s">
        <v>244</v>
      </c>
      <c r="D367" s="2"/>
      <c r="E367" s="2" t="s">
        <v>732</v>
      </c>
      <c r="F367" s="2">
        <v>1.0</v>
      </c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 t="s">
        <v>738</v>
      </c>
      <c r="B368" s="2">
        <v>1.0</v>
      </c>
      <c r="C368" s="2"/>
      <c r="D368" s="2"/>
      <c r="E368" s="2" t="s">
        <v>732</v>
      </c>
      <c r="F368" s="2">
        <v>1.0</v>
      </c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 t="s">
        <v>739</v>
      </c>
      <c r="B369" s="2">
        <v>1.0</v>
      </c>
      <c r="C369" s="2"/>
      <c r="D369" s="2"/>
      <c r="E369" s="2" t="s">
        <v>732</v>
      </c>
      <c r="F369" s="2">
        <v>1.0</v>
      </c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 t="s">
        <v>417</v>
      </c>
      <c r="B370" s="2">
        <v>1.0</v>
      </c>
      <c r="C370" s="2"/>
      <c r="D370" s="2"/>
      <c r="E370" s="2" t="s">
        <v>732</v>
      </c>
      <c r="F370" s="2">
        <v>1.0</v>
      </c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 t="s">
        <v>417</v>
      </c>
      <c r="B371" s="2"/>
      <c r="C371" s="2" t="s">
        <v>443</v>
      </c>
      <c r="D371" s="2"/>
      <c r="E371" s="2" t="s">
        <v>732</v>
      </c>
      <c r="F371" s="2">
        <v>1.0</v>
      </c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 t="s">
        <v>417</v>
      </c>
      <c r="B372" s="2"/>
      <c r="C372" s="2" t="s">
        <v>740</v>
      </c>
      <c r="D372" s="2"/>
      <c r="E372" s="2" t="s">
        <v>732</v>
      </c>
      <c r="F372" s="2">
        <v>1.0</v>
      </c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 t="s">
        <v>741</v>
      </c>
      <c r="B373" s="2">
        <v>1.0</v>
      </c>
      <c r="C373" s="2"/>
      <c r="D373" s="2"/>
      <c r="E373" s="2" t="s">
        <v>732</v>
      </c>
      <c r="F373" s="2">
        <v>1.0</v>
      </c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 t="s">
        <v>742</v>
      </c>
      <c r="B374" s="2">
        <v>1.0</v>
      </c>
      <c r="C374" s="2"/>
      <c r="D374" s="2"/>
      <c r="E374" s="2" t="s">
        <v>732</v>
      </c>
      <c r="F374" s="2">
        <v>3.0</v>
      </c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 t="s">
        <v>742</v>
      </c>
      <c r="B375" s="2"/>
      <c r="C375" s="2" t="s">
        <v>244</v>
      </c>
      <c r="D375" s="2"/>
      <c r="E375" s="2" t="s">
        <v>732</v>
      </c>
      <c r="F375" s="2">
        <v>1.0</v>
      </c>
      <c r="G375" s="2">
        <f>SUM(F361:F375)</f>
        <v>18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 t="s">
        <v>743</v>
      </c>
      <c r="B376" s="2">
        <v>1.0</v>
      </c>
      <c r="C376" s="2"/>
      <c r="D376" s="2"/>
      <c r="E376" s="2" t="s">
        <v>744</v>
      </c>
      <c r="F376" s="2">
        <v>1.0</v>
      </c>
      <c r="G376" s="2">
        <f t="shared" ref="G376:G377" si="2">SUM(F376)</f>
        <v>1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 t="s">
        <v>745</v>
      </c>
      <c r="B377" s="2">
        <v>1.0</v>
      </c>
      <c r="C377" s="2"/>
      <c r="D377" s="2"/>
      <c r="E377" s="2" t="s">
        <v>746</v>
      </c>
      <c r="F377" s="2">
        <v>1.0</v>
      </c>
      <c r="G377" s="2">
        <f t="shared" si="2"/>
        <v>1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 t="s">
        <v>647</v>
      </c>
      <c r="B378" s="2">
        <v>1.0</v>
      </c>
      <c r="C378" s="2"/>
      <c r="D378" s="2"/>
      <c r="E378" s="2" t="s">
        <v>747</v>
      </c>
      <c r="F378" s="2">
        <v>1.0</v>
      </c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 t="s">
        <v>748</v>
      </c>
      <c r="B379" s="2">
        <v>1.0</v>
      </c>
      <c r="C379" s="2"/>
      <c r="D379" s="2"/>
      <c r="E379" s="2" t="s">
        <v>747</v>
      </c>
      <c r="F379" s="2">
        <v>1.0</v>
      </c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 t="s">
        <v>747</v>
      </c>
      <c r="B380" s="2">
        <v>1.0</v>
      </c>
      <c r="C380" s="2"/>
      <c r="D380" s="2"/>
      <c r="E380" s="2" t="s">
        <v>747</v>
      </c>
      <c r="F380" s="2">
        <v>1.0</v>
      </c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 t="s">
        <v>749</v>
      </c>
      <c r="B381" s="2">
        <v>1.0</v>
      </c>
      <c r="C381" s="2"/>
      <c r="D381" s="2"/>
      <c r="E381" s="2" t="s">
        <v>747</v>
      </c>
      <c r="F381" s="2">
        <v>1.0</v>
      </c>
      <c r="G381" s="2">
        <f>SUM(F378:F381)</f>
        <v>4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 t="s">
        <v>83</v>
      </c>
      <c r="B382" s="2">
        <v>1.0</v>
      </c>
      <c r="C382" s="2"/>
      <c r="D382" s="2"/>
      <c r="E382" s="2" t="s">
        <v>750</v>
      </c>
      <c r="F382" s="2">
        <v>2.0</v>
      </c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 t="s">
        <v>394</v>
      </c>
      <c r="B383" s="2">
        <v>1.0</v>
      </c>
      <c r="C383" s="2"/>
      <c r="D383" s="2"/>
      <c r="E383" s="2" t="s">
        <v>750</v>
      </c>
      <c r="F383" s="2">
        <v>1.0</v>
      </c>
      <c r="G383" s="2">
        <f>SUM(F382:F383)</f>
        <v>3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 t="s">
        <v>751</v>
      </c>
      <c r="B384" s="2">
        <v>1.0</v>
      </c>
      <c r="C384" s="2"/>
      <c r="D384" s="2"/>
      <c r="E384" s="2" t="s">
        <v>752</v>
      </c>
      <c r="F384" s="2">
        <v>1.0</v>
      </c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 t="s">
        <v>318</v>
      </c>
      <c r="B385" s="2">
        <v>1.0</v>
      </c>
      <c r="C385" s="2"/>
      <c r="D385" s="2"/>
      <c r="E385" s="2" t="s">
        <v>752</v>
      </c>
      <c r="F385" s="2">
        <v>2.0</v>
      </c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 t="s">
        <v>753</v>
      </c>
      <c r="B386" s="2">
        <v>1.0</v>
      </c>
      <c r="C386" s="2"/>
      <c r="D386" s="2"/>
      <c r="E386" s="2" t="s">
        <v>752</v>
      </c>
      <c r="F386" s="2">
        <v>1.0</v>
      </c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 t="s">
        <v>754</v>
      </c>
      <c r="B387" s="2">
        <v>1.0</v>
      </c>
      <c r="C387" s="2"/>
      <c r="D387" s="2"/>
      <c r="E387" s="2" t="s">
        <v>752</v>
      </c>
      <c r="F387" s="2">
        <v>2.0</v>
      </c>
      <c r="G387" s="2">
        <f>SUM(F384:F387)</f>
        <v>6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 t="s">
        <v>762</v>
      </c>
      <c r="B388" s="2">
        <v>1.0</v>
      </c>
      <c r="C388" s="2" t="s">
        <v>10</v>
      </c>
      <c r="D388" s="2"/>
      <c r="E388" s="2" t="s">
        <v>763</v>
      </c>
      <c r="F388" s="2">
        <v>1.0</v>
      </c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 t="s">
        <v>764</v>
      </c>
      <c r="B389" s="2">
        <v>1.0</v>
      </c>
      <c r="C389" s="2" t="s">
        <v>765</v>
      </c>
      <c r="D389" s="2"/>
      <c r="E389" s="2" t="s">
        <v>763</v>
      </c>
      <c r="F389" s="2">
        <v>1.0</v>
      </c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 t="s">
        <v>766</v>
      </c>
      <c r="B390" s="2">
        <v>1.0</v>
      </c>
      <c r="C390" s="2"/>
      <c r="D390" s="2"/>
      <c r="E390" s="2" t="s">
        <v>763</v>
      </c>
      <c r="F390" s="2">
        <v>1.0</v>
      </c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 t="s">
        <v>767</v>
      </c>
      <c r="B391" s="2">
        <v>1.0</v>
      </c>
      <c r="C391" s="2"/>
      <c r="D391" s="2"/>
      <c r="E391" s="2" t="s">
        <v>763</v>
      </c>
      <c r="F391" s="2">
        <v>1.0</v>
      </c>
      <c r="G391" s="2">
        <f>SUM(F388:F391)</f>
        <v>4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 t="s">
        <v>775</v>
      </c>
      <c r="B392" s="2">
        <v>1.0</v>
      </c>
      <c r="C392" s="2"/>
      <c r="D392" s="2"/>
      <c r="E392" s="2" t="s">
        <v>776</v>
      </c>
      <c r="F392" s="2">
        <v>1.0</v>
      </c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 t="s">
        <v>777</v>
      </c>
      <c r="B393" s="2">
        <v>1.0</v>
      </c>
      <c r="C393" s="2"/>
      <c r="D393" s="2"/>
      <c r="E393" s="2" t="s">
        <v>776</v>
      </c>
      <c r="F393" s="2">
        <v>2.0</v>
      </c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 t="s">
        <v>777</v>
      </c>
      <c r="B394" s="2"/>
      <c r="C394" s="2" t="s">
        <v>244</v>
      </c>
      <c r="D394" s="2"/>
      <c r="E394" s="2" t="s">
        <v>776</v>
      </c>
      <c r="F394" s="2">
        <v>1.0</v>
      </c>
      <c r="G394" s="2">
        <f>SUM(F392:F394)</f>
        <v>4</v>
      </c>
      <c r="H394" s="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 t="s">
        <v>783</v>
      </c>
      <c r="B395" s="2">
        <v>1.0</v>
      </c>
      <c r="C395" s="2"/>
      <c r="D395" s="2"/>
      <c r="E395" s="2" t="s">
        <v>784</v>
      </c>
      <c r="F395" s="2">
        <v>1.0</v>
      </c>
      <c r="G395" s="2"/>
      <c r="H395" s="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 t="s">
        <v>785</v>
      </c>
      <c r="B396" s="2">
        <v>1.0</v>
      </c>
      <c r="C396" s="2"/>
      <c r="D396" s="2"/>
      <c r="E396" s="2" t="s">
        <v>784</v>
      </c>
      <c r="F396" s="2">
        <v>1.0</v>
      </c>
      <c r="G396" s="2"/>
      <c r="H396" s="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 t="s">
        <v>786</v>
      </c>
      <c r="B397" s="2">
        <v>1.0</v>
      </c>
      <c r="C397" s="2"/>
      <c r="D397" s="2"/>
      <c r="E397" s="2" t="s">
        <v>784</v>
      </c>
      <c r="F397" s="2">
        <v>1.0</v>
      </c>
      <c r="G397" s="2">
        <f>SUM(F395:F397)</f>
        <v>3</v>
      </c>
      <c r="H397" s="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 t="s">
        <v>792</v>
      </c>
      <c r="B398" s="2">
        <v>1.0</v>
      </c>
      <c r="C398" s="2"/>
      <c r="D398" s="2"/>
      <c r="E398" s="2" t="s">
        <v>788</v>
      </c>
      <c r="F398" s="2">
        <v>1.0</v>
      </c>
      <c r="G398" s="2">
        <v>1.0</v>
      </c>
      <c r="H398" s="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 t="s">
        <v>802</v>
      </c>
      <c r="B399" s="2">
        <v>1.0</v>
      </c>
      <c r="C399" s="2"/>
      <c r="D399" s="2"/>
      <c r="E399" s="2" t="s">
        <v>803</v>
      </c>
      <c r="F399" s="2">
        <v>1.0</v>
      </c>
      <c r="G399" s="2"/>
      <c r="H399" s="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 t="s">
        <v>804</v>
      </c>
      <c r="B400" s="2">
        <v>1.0</v>
      </c>
      <c r="C400" s="2"/>
      <c r="D400" s="2"/>
      <c r="E400" s="2" t="s">
        <v>803</v>
      </c>
      <c r="F400" s="2">
        <v>1.0</v>
      </c>
      <c r="G400" s="2"/>
      <c r="H400" s="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 t="s">
        <v>83</v>
      </c>
      <c r="B401" s="2">
        <v>1.0</v>
      </c>
      <c r="C401" s="2"/>
      <c r="D401" s="2"/>
      <c r="E401" s="2" t="s">
        <v>803</v>
      </c>
      <c r="F401" s="2">
        <v>1.0</v>
      </c>
      <c r="G401" s="2"/>
      <c r="H401" s="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 t="s">
        <v>83</v>
      </c>
      <c r="B402" s="2"/>
      <c r="C402" s="2" t="s">
        <v>563</v>
      </c>
      <c r="D402" s="2"/>
      <c r="E402" s="2" t="s">
        <v>803</v>
      </c>
      <c r="F402" s="2">
        <v>1.0</v>
      </c>
      <c r="G402" s="2">
        <f>SUM(F378:F381)</f>
        <v>4</v>
      </c>
      <c r="H402" s="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 t="s">
        <v>805</v>
      </c>
      <c r="B403" s="2">
        <v>1.0</v>
      </c>
      <c r="C403" s="2"/>
      <c r="D403" s="2"/>
      <c r="E403" s="2" t="s">
        <v>806</v>
      </c>
      <c r="F403" s="2">
        <v>1.0</v>
      </c>
      <c r="G403" s="2">
        <f>SUM(F403)</f>
        <v>1</v>
      </c>
      <c r="H403" s="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1" t="s">
        <v>807</v>
      </c>
      <c r="B404" s="22">
        <f>SUM(B4:B403)</f>
        <v>292</v>
      </c>
      <c r="C404" s="2"/>
      <c r="D404" s="2"/>
      <c r="E404" s="2"/>
      <c r="F404" s="22">
        <f t="shared" ref="F404:G404" si="3">SUM(F4:F403)</f>
        <v>518</v>
      </c>
      <c r="G404" s="22">
        <f t="shared" si="3"/>
        <v>518</v>
      </c>
      <c r="H404" s="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 t="s">
        <v>808</v>
      </c>
      <c r="B407" s="2"/>
      <c r="C407" s="2"/>
      <c r="D407" s="2"/>
      <c r="E407" s="2"/>
      <c r="F407" s="2"/>
      <c r="G407" s="2"/>
      <c r="H407" s="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2" t="s">
        <v>809</v>
      </c>
      <c r="B409" s="2"/>
      <c r="C409" s="2" t="s">
        <v>5</v>
      </c>
      <c r="D409" s="2" t="s">
        <v>810</v>
      </c>
      <c r="E409" s="2" t="s">
        <v>811</v>
      </c>
      <c r="F409" s="2"/>
      <c r="G409" s="4" t="s">
        <v>812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 t="s">
        <v>8</v>
      </c>
      <c r="B410" s="2"/>
      <c r="C410" s="2">
        <f>G33</f>
        <v>35</v>
      </c>
      <c r="D410" s="2"/>
      <c r="E410" s="2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 t="s">
        <v>132</v>
      </c>
      <c r="B411" s="2"/>
      <c r="C411" s="2">
        <f>G55</f>
        <v>44</v>
      </c>
      <c r="D411" s="2"/>
      <c r="E411" s="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 t="s">
        <v>275</v>
      </c>
      <c r="B412" s="2"/>
      <c r="C412" s="2">
        <f>G59</f>
        <v>4</v>
      </c>
      <c r="D412" s="2"/>
      <c r="E412" s="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 t="s">
        <v>283</v>
      </c>
      <c r="B413" s="2"/>
      <c r="C413" s="2">
        <f>G62</f>
        <v>5</v>
      </c>
      <c r="D413" s="2"/>
      <c r="E413" s="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 t="s">
        <v>302</v>
      </c>
      <c r="B414" s="2"/>
      <c r="C414" s="2">
        <f>G72</f>
        <v>11</v>
      </c>
      <c r="D414" s="2"/>
      <c r="E414" s="2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 t="s">
        <v>311</v>
      </c>
      <c r="B415" s="2"/>
      <c r="C415" s="2">
        <f>G169</f>
        <v>148</v>
      </c>
      <c r="D415" s="2"/>
      <c r="E415" s="2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 t="s">
        <v>437</v>
      </c>
      <c r="B416" s="2"/>
      <c r="C416" s="2">
        <f>G171</f>
        <v>2</v>
      </c>
      <c r="D416" s="2"/>
      <c r="E416" s="2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 t="s">
        <v>439</v>
      </c>
      <c r="B417" s="2"/>
      <c r="C417" s="2">
        <f t="shared" ref="C417:C418" si="4">G189</f>
        <v>24</v>
      </c>
      <c r="D417" s="2"/>
      <c r="E417" s="2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 t="s">
        <v>458</v>
      </c>
      <c r="B418" s="2"/>
      <c r="C418" s="2">
        <f t="shared" si="4"/>
        <v>1</v>
      </c>
      <c r="D418" s="2"/>
      <c r="E418" s="2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 t="s">
        <v>461</v>
      </c>
      <c r="B419" s="2"/>
      <c r="C419" s="2">
        <f>G196</f>
        <v>9</v>
      </c>
      <c r="D419" s="2"/>
      <c r="E419" s="2"/>
      <c r="F419" s="2"/>
      <c r="G419" s="2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 t="s">
        <v>465</v>
      </c>
      <c r="B420" s="2"/>
      <c r="C420" s="2">
        <f>G206</f>
        <v>10</v>
      </c>
      <c r="D420" s="2"/>
      <c r="E420" s="2"/>
      <c r="F420" s="2"/>
      <c r="G420" s="2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 t="s">
        <v>470</v>
      </c>
      <c r="B421" s="2"/>
      <c r="C421" s="2">
        <f>G208</f>
        <v>2</v>
      </c>
      <c r="D421" s="2"/>
      <c r="E421" s="2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 t="s">
        <v>478</v>
      </c>
      <c r="B422" s="2"/>
      <c r="C422" s="2">
        <f>G216</f>
        <v>8</v>
      </c>
      <c r="D422" s="2"/>
      <c r="E422" s="2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 t="s">
        <v>495</v>
      </c>
      <c r="B423" s="2"/>
      <c r="C423" s="2">
        <f t="shared" ref="C423:C425" si="5">G260</f>
        <v>51</v>
      </c>
      <c r="D423" s="2"/>
      <c r="E423" s="2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 t="s">
        <v>544</v>
      </c>
      <c r="B424" s="2"/>
      <c r="C424" s="2">
        <f t="shared" si="5"/>
        <v>1</v>
      </c>
      <c r="D424" s="2"/>
      <c r="E424" s="2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 t="s">
        <v>553</v>
      </c>
      <c r="B425" s="2"/>
      <c r="C425" s="2">
        <f t="shared" si="5"/>
        <v>1</v>
      </c>
      <c r="D425" s="2"/>
      <c r="E425" s="2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 t="s">
        <v>559</v>
      </c>
      <c r="B426" s="2"/>
      <c r="C426" s="2">
        <f t="shared" ref="C426:C428" si="6">G295</f>
        <v>33</v>
      </c>
      <c r="D426" s="2"/>
      <c r="E426" s="2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 t="s">
        <v>590</v>
      </c>
      <c r="B427" s="2"/>
      <c r="C427" s="2">
        <f t="shared" si="6"/>
        <v>1</v>
      </c>
      <c r="D427" s="2"/>
      <c r="E427" s="2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 t="s">
        <v>592</v>
      </c>
      <c r="B428" s="2"/>
      <c r="C428" s="2">
        <f t="shared" si="6"/>
        <v>1</v>
      </c>
      <c r="D428" s="2"/>
      <c r="E428" s="2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 t="s">
        <v>594</v>
      </c>
      <c r="B429" s="2"/>
      <c r="C429" s="2">
        <f>G312</f>
        <v>15</v>
      </c>
      <c r="D429" s="2"/>
      <c r="E429" s="2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 t="s">
        <v>631</v>
      </c>
      <c r="B430" s="2"/>
      <c r="C430" s="2">
        <f t="shared" ref="C430:C432" si="7">G342</f>
        <v>38</v>
      </c>
      <c r="D430" s="2"/>
      <c r="E430" s="2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 t="s">
        <v>678</v>
      </c>
      <c r="B431" s="2"/>
      <c r="C431" s="2">
        <f t="shared" si="7"/>
        <v>1</v>
      </c>
      <c r="D431" s="2"/>
      <c r="E431" s="2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 t="s">
        <v>702</v>
      </c>
      <c r="B432" s="2"/>
      <c r="C432" s="2">
        <f t="shared" si="7"/>
        <v>1</v>
      </c>
      <c r="D432" s="2"/>
      <c r="E432" s="2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 t="s">
        <v>708</v>
      </c>
      <c r="B433" s="2"/>
      <c r="C433" s="2">
        <f t="shared" ref="C433:C434" si="8">G359</f>
        <v>15</v>
      </c>
      <c r="D433" s="2"/>
      <c r="E433" s="2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 t="s">
        <v>726</v>
      </c>
      <c r="B434" s="2"/>
      <c r="C434" s="2">
        <f t="shared" si="8"/>
        <v>1</v>
      </c>
      <c r="D434" s="2"/>
      <c r="E434" s="2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 t="s">
        <v>732</v>
      </c>
      <c r="B435" s="2"/>
      <c r="C435" s="2">
        <f t="shared" ref="C435:C437" si="9">G375</f>
        <v>18</v>
      </c>
      <c r="D435" s="2"/>
      <c r="E435" s="2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 t="s">
        <v>744</v>
      </c>
      <c r="B436" s="2"/>
      <c r="C436" s="2">
        <f t="shared" si="9"/>
        <v>1</v>
      </c>
      <c r="D436" s="2"/>
      <c r="E436" s="2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 t="s">
        <v>746</v>
      </c>
      <c r="B437" s="2"/>
      <c r="C437" s="2">
        <f t="shared" si="9"/>
        <v>1</v>
      </c>
      <c r="D437" s="2"/>
      <c r="E437" s="2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 t="s">
        <v>747</v>
      </c>
      <c r="B438" s="2"/>
      <c r="C438" s="2">
        <f>G381</f>
        <v>4</v>
      </c>
      <c r="D438" s="2"/>
      <c r="E438" s="2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 t="s">
        <v>750</v>
      </c>
      <c r="B439" s="2"/>
      <c r="C439" s="2">
        <f>G383</f>
        <v>3</v>
      </c>
      <c r="D439" s="2"/>
      <c r="E439" s="2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 t="s">
        <v>752</v>
      </c>
      <c r="B440" s="2"/>
      <c r="C440" s="2">
        <f>G387</f>
        <v>6</v>
      </c>
      <c r="D440" s="2"/>
      <c r="E440" s="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 t="s">
        <v>763</v>
      </c>
      <c r="B441" s="2"/>
      <c r="C441" s="2">
        <f>G391</f>
        <v>4</v>
      </c>
      <c r="D441" s="2"/>
      <c r="E441" s="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 t="s">
        <v>815</v>
      </c>
      <c r="B442" s="2"/>
      <c r="C442" s="2">
        <f>G394</f>
        <v>4</v>
      </c>
      <c r="D442" s="2"/>
      <c r="E442" s="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 t="s">
        <v>784</v>
      </c>
      <c r="B443" s="2"/>
      <c r="C443" s="2">
        <f t="shared" ref="C443:C444" si="10">G397</f>
        <v>3</v>
      </c>
      <c r="D443" s="2"/>
      <c r="E443" s="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 t="s">
        <v>788</v>
      </c>
      <c r="B444" s="2"/>
      <c r="C444" s="2">
        <f t="shared" si="10"/>
        <v>1</v>
      </c>
      <c r="D444" s="2"/>
      <c r="E444" s="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 t="s">
        <v>803</v>
      </c>
      <c r="B445" s="2"/>
      <c r="C445" s="2">
        <f t="shared" ref="C445:C446" si="11">G402</f>
        <v>4</v>
      </c>
      <c r="D445" s="2"/>
      <c r="E445" s="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 t="s">
        <v>806</v>
      </c>
      <c r="B446" s="2"/>
      <c r="C446" s="2">
        <f t="shared" si="11"/>
        <v>1</v>
      </c>
      <c r="D446" s="2"/>
      <c r="E446" s="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2"/>
      <c r="D447" s="22">
        <f>COUNT(C410:C446)</f>
        <v>37</v>
      </c>
      <c r="E447" s="22">
        <f>B404</f>
        <v>292</v>
      </c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22">
        <f>SUM(C410:C446)</f>
        <v>512</v>
      </c>
      <c r="D448" s="2"/>
      <c r="E448" s="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2"/>
      <c r="D449" s="2"/>
      <c r="E449" s="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2"/>
      <c r="D450" s="2"/>
      <c r="E450" s="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24"/>
      <c r="B451" s="2"/>
      <c r="C451" s="2"/>
      <c r="D451" s="2"/>
      <c r="E451" s="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2"/>
      <c r="D452" s="2"/>
      <c r="E452" s="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2"/>
      <c r="D453" s="2"/>
      <c r="E453" s="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2"/>
      <c r="D454" s="2"/>
      <c r="E454" s="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2"/>
      <c r="D455" s="2"/>
      <c r="E455" s="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2"/>
      <c r="D456" s="2"/>
      <c r="E456" s="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2"/>
      <c r="D457" s="2"/>
      <c r="E457" s="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2"/>
      <c r="D458" s="2"/>
      <c r="E458" s="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2"/>
      <c r="D459" s="2"/>
      <c r="E459" s="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2"/>
      <c r="D460" s="2"/>
      <c r="E460" s="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2"/>
      <c r="D461" s="2"/>
      <c r="E461" s="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2"/>
      <c r="D462" s="2"/>
      <c r="E462" s="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2"/>
      <c r="D463" s="2"/>
      <c r="E463" s="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2"/>
      <c r="D464" s="2"/>
      <c r="E464" s="2"/>
      <c r="F464" s="2"/>
      <c r="G464" s="2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2"/>
      <c r="D465" s="2"/>
      <c r="E465" s="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2"/>
      <c r="D466" s="2"/>
      <c r="E466" s="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2"/>
      <c r="D467" s="2"/>
      <c r="E467" s="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2"/>
      <c r="D468" s="2"/>
      <c r="E468" s="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2"/>
      <c r="D469" s="2"/>
      <c r="E469" s="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2"/>
      <c r="D470" s="2"/>
      <c r="E470" s="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2"/>
      <c r="D471" s="2"/>
      <c r="E471" s="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2"/>
      <c r="D472" s="2"/>
      <c r="E472" s="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2"/>
      <c r="D473" s="2"/>
      <c r="E473" s="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2"/>
      <c r="D474" s="2"/>
      <c r="E474" s="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2"/>
      <c r="D475" s="2"/>
      <c r="E475" s="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2"/>
      <c r="D476" s="2"/>
      <c r="E476" s="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2"/>
      <c r="D477" s="2"/>
      <c r="E477" s="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2"/>
      <c r="D478" s="2"/>
      <c r="E478" s="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2"/>
      <c r="D479" s="2"/>
      <c r="E479" s="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2"/>
      <c r="D480" s="2"/>
      <c r="E480" s="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2"/>
      <c r="D481" s="2"/>
      <c r="E481" s="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2"/>
      <c r="D482" s="2"/>
      <c r="E482" s="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2"/>
      <c r="D483" s="2"/>
      <c r="E483" s="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2"/>
      <c r="D484" s="2"/>
      <c r="E484" s="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2"/>
      <c r="D485" s="2"/>
      <c r="E485" s="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2"/>
      <c r="D486" s="2"/>
      <c r="E486" s="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2"/>
      <c r="D487" s="2"/>
      <c r="E487" s="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2"/>
      <c r="D488" s="2"/>
      <c r="E488" s="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2"/>
      <c r="D489" s="2"/>
      <c r="E489" s="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2"/>
      <c r="D490" s="2"/>
      <c r="E490" s="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2"/>
      <c r="D491" s="2"/>
      <c r="E491" s="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2"/>
      <c r="D492" s="2"/>
      <c r="E492" s="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2"/>
      <c r="D493" s="2"/>
      <c r="E493" s="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2"/>
      <c r="D494" s="2"/>
      <c r="E494" s="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2"/>
      <c r="D495" s="2"/>
      <c r="E495" s="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2"/>
      <c r="D496" s="2"/>
      <c r="E496" s="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2"/>
      <c r="D497" s="2"/>
      <c r="E497" s="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2"/>
      <c r="D498" s="2"/>
      <c r="E498" s="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2"/>
      <c r="D499" s="2"/>
      <c r="E499" s="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2"/>
      <c r="D500" s="2"/>
      <c r="E500" s="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2"/>
      <c r="D501" s="2"/>
      <c r="E501" s="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2"/>
      <c r="D502" s="2"/>
      <c r="E502" s="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2"/>
      <c r="D503" s="2"/>
      <c r="E503" s="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2"/>
      <c r="D504" s="2"/>
      <c r="E504" s="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2"/>
      <c r="D505" s="2"/>
      <c r="E505" s="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2"/>
      <c r="D506" s="2"/>
      <c r="E506" s="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2"/>
      <c r="D507" s="2"/>
      <c r="E507" s="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2"/>
      <c r="D508" s="2"/>
      <c r="E508" s="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2"/>
      <c r="D509" s="2"/>
      <c r="E509" s="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2"/>
      <c r="D510" s="2"/>
      <c r="E510" s="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2"/>
      <c r="D511" s="2"/>
      <c r="E511" s="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2"/>
      <c r="D512" s="2"/>
      <c r="E512" s="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2"/>
      <c r="D513" s="2"/>
      <c r="E513" s="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2"/>
      <c r="D514" s="2"/>
      <c r="E514" s="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2"/>
      <c r="D515" s="2"/>
      <c r="E515" s="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2"/>
      <c r="D516" s="2"/>
      <c r="E516" s="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2"/>
      <c r="D517" s="2"/>
      <c r="E517" s="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2"/>
      <c r="D518" s="2"/>
      <c r="E518" s="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2"/>
      <c r="D519" s="2"/>
      <c r="E519" s="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2"/>
      <c r="D520" s="2"/>
      <c r="E520" s="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2"/>
      <c r="D521" s="2"/>
      <c r="E521" s="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2"/>
      <c r="D522" s="2"/>
      <c r="E522" s="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2"/>
      <c r="D523" s="2"/>
      <c r="E523" s="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2"/>
      <c r="D524" s="2"/>
      <c r="E524" s="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2"/>
      <c r="D525" s="2"/>
      <c r="E525" s="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2"/>
      <c r="D526" s="2"/>
      <c r="E526" s="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2"/>
      <c r="D527" s="2"/>
      <c r="E527" s="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2"/>
      <c r="D528" s="2"/>
      <c r="E528" s="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2"/>
      <c r="D529" s="2"/>
      <c r="E529" s="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2"/>
      <c r="D530" s="2"/>
      <c r="E530" s="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2"/>
      <c r="D531" s="2"/>
      <c r="E531" s="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2"/>
      <c r="D532" s="2"/>
      <c r="E532" s="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2"/>
      <c r="D533" s="2"/>
      <c r="E533" s="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2"/>
      <c r="D534" s="2"/>
      <c r="E534" s="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2"/>
      <c r="D535" s="2"/>
      <c r="E535" s="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2"/>
      <c r="D536" s="2"/>
      <c r="E536" s="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2"/>
      <c r="D537" s="2"/>
      <c r="E537" s="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2"/>
      <c r="D538" s="2"/>
      <c r="E538" s="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2"/>
      <c r="D539" s="2"/>
      <c r="E539" s="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2"/>
      <c r="D540" s="2"/>
      <c r="E540" s="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2"/>
      <c r="D541" s="2"/>
      <c r="E541" s="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2"/>
      <c r="D542" s="2"/>
      <c r="E542" s="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2"/>
      <c r="D543" s="2"/>
      <c r="E543" s="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2"/>
      <c r="D544" s="2"/>
      <c r="E544" s="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2"/>
      <c r="D545" s="2"/>
      <c r="E545" s="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2"/>
      <c r="D546" s="2"/>
      <c r="E546" s="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2"/>
      <c r="D547" s="2"/>
      <c r="E547" s="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2"/>
      <c r="D548" s="2"/>
      <c r="E548" s="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2"/>
      <c r="D549" s="2"/>
      <c r="E549" s="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2"/>
      <c r="D550" s="2"/>
      <c r="E550" s="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2"/>
      <c r="D551" s="2"/>
      <c r="E551" s="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2"/>
      <c r="D552" s="2"/>
      <c r="E552" s="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2"/>
      <c r="D553" s="2"/>
      <c r="E553" s="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2"/>
      <c r="D554" s="2"/>
      <c r="E554" s="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2"/>
      <c r="D555" s="2"/>
      <c r="E555" s="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2"/>
      <c r="D556" s="2"/>
      <c r="E556" s="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2"/>
      <c r="D557" s="2"/>
      <c r="E557" s="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2"/>
      <c r="D558" s="2"/>
      <c r="E558" s="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2"/>
      <c r="D559" s="2"/>
      <c r="E559" s="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2"/>
      <c r="D560" s="2"/>
      <c r="E560" s="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2"/>
      <c r="D561" s="2"/>
      <c r="E561" s="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2"/>
      <c r="D562" s="2"/>
      <c r="E562" s="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2"/>
      <c r="D563" s="2"/>
      <c r="E563" s="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2"/>
      <c r="D564" s="2"/>
      <c r="E564" s="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2"/>
      <c r="D565" s="2"/>
      <c r="E565" s="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2"/>
      <c r="D566" s="2"/>
      <c r="E566" s="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2"/>
      <c r="D567" s="2"/>
      <c r="E567" s="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2"/>
      <c r="D568" s="2"/>
      <c r="E568" s="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2"/>
      <c r="D569" s="2"/>
      <c r="E569" s="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2"/>
      <c r="D570" s="2"/>
      <c r="E570" s="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2"/>
      <c r="D571" s="2"/>
      <c r="E571" s="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2"/>
      <c r="D572" s="2"/>
      <c r="E572" s="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2"/>
      <c r="D573" s="2"/>
      <c r="E573" s="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2"/>
      <c r="D574" s="2"/>
      <c r="E574" s="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2"/>
      <c r="D575" s="2"/>
      <c r="E575" s="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2"/>
      <c r="D576" s="2"/>
      <c r="E576" s="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2"/>
      <c r="D577" s="2"/>
      <c r="E577" s="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2"/>
      <c r="D578" s="2"/>
      <c r="E578" s="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2"/>
      <c r="D579" s="2"/>
      <c r="E579" s="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2"/>
      <c r="D580" s="2"/>
      <c r="E580" s="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2"/>
      <c r="D581" s="2"/>
      <c r="E581" s="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2"/>
      <c r="D582" s="2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2"/>
      <c r="D583" s="2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2"/>
      <c r="D584" s="2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2"/>
      <c r="D585" s="2"/>
      <c r="E585" s="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2"/>
      <c r="D586" s="2"/>
      <c r="E586" s="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2"/>
      <c r="D587" s="2"/>
      <c r="E587" s="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2"/>
      <c r="D588" s="2"/>
      <c r="E588" s="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2"/>
      <c r="D589" s="2"/>
      <c r="E589" s="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2"/>
      <c r="D590" s="2"/>
      <c r="E590" s="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2"/>
      <c r="D591" s="2"/>
      <c r="E591" s="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2"/>
      <c r="D592" s="2"/>
      <c r="E592" s="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2"/>
      <c r="D593" s="2"/>
      <c r="E593" s="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2"/>
      <c r="D594" s="2"/>
      <c r="E594" s="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2"/>
      <c r="D595" s="2"/>
      <c r="E595" s="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2"/>
      <c r="D596" s="2"/>
      <c r="E596" s="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2"/>
      <c r="D597" s="2"/>
      <c r="E597" s="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2"/>
      <c r="D598" s="2"/>
      <c r="E598" s="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2"/>
      <c r="D599" s="2"/>
      <c r="E599" s="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2"/>
      <c r="D600" s="2"/>
      <c r="E600" s="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2"/>
      <c r="D601" s="2"/>
      <c r="E601" s="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2"/>
      <c r="D602" s="2"/>
      <c r="E602" s="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2"/>
      <c r="D603" s="2"/>
      <c r="E603" s="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2"/>
      <c r="D604" s="2"/>
      <c r="E604" s="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2"/>
      <c r="D605" s="2"/>
      <c r="E605" s="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2"/>
      <c r="D606" s="2"/>
      <c r="E606" s="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2"/>
      <c r="D607" s="2"/>
      <c r="E607" s="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2"/>
      <c r="D608" s="2"/>
      <c r="E608" s="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2"/>
      <c r="D609" s="2"/>
      <c r="E609" s="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2"/>
      <c r="D610" s="2"/>
      <c r="E610" s="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2"/>
      <c r="D611" s="2"/>
      <c r="E611" s="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2"/>
      <c r="D612" s="2"/>
      <c r="E612" s="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2"/>
      <c r="D613" s="2"/>
      <c r="E613" s="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2"/>
      <c r="D614" s="2"/>
      <c r="E614" s="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2"/>
      <c r="D615" s="2"/>
      <c r="E615" s="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2"/>
      <c r="D616" s="2"/>
      <c r="E616" s="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2"/>
      <c r="D617" s="2"/>
      <c r="E617" s="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2"/>
      <c r="D618" s="2"/>
      <c r="E618" s="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2"/>
      <c r="D619" s="2"/>
      <c r="E619" s="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2"/>
      <c r="D620" s="2"/>
      <c r="E620" s="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2"/>
      <c r="D621" s="2"/>
      <c r="E621" s="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2"/>
      <c r="D622" s="2"/>
      <c r="E622" s="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2"/>
      <c r="D623" s="2"/>
      <c r="E623" s="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2"/>
      <c r="D624" s="2"/>
      <c r="E624" s="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2"/>
      <c r="D625" s="2"/>
      <c r="E625" s="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2"/>
      <c r="D626" s="2"/>
      <c r="E626" s="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2"/>
      <c r="D627" s="2"/>
      <c r="E627" s="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2"/>
      <c r="D628" s="2"/>
      <c r="E628" s="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2"/>
      <c r="D629" s="2"/>
      <c r="E629" s="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2"/>
      <c r="D630" s="2"/>
      <c r="E630" s="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2"/>
      <c r="D631" s="2"/>
      <c r="E631" s="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2"/>
      <c r="D632" s="2"/>
      <c r="E632" s="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2"/>
      <c r="D633" s="2"/>
      <c r="E633" s="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2"/>
      <c r="D634" s="2"/>
      <c r="E634" s="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2"/>
      <c r="D635" s="2"/>
      <c r="E635" s="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2"/>
      <c r="D636" s="2"/>
      <c r="E636" s="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2"/>
      <c r="D637" s="2"/>
      <c r="E637" s="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2"/>
      <c r="D638" s="2"/>
      <c r="E638" s="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2"/>
      <c r="D639" s="2"/>
      <c r="E639" s="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2"/>
      <c r="D640" s="2"/>
      <c r="E640" s="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2"/>
      <c r="D641" s="2"/>
      <c r="E641" s="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2"/>
      <c r="D642" s="2"/>
      <c r="E642" s="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2"/>
      <c r="D643" s="2"/>
      <c r="E643" s="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2"/>
      <c r="D644" s="2"/>
      <c r="E644" s="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2"/>
      <c r="D645" s="2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2"/>
      <c r="D646" s="2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2"/>
      <c r="D647" s="2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2"/>
      <c r="D648" s="2"/>
      <c r="E648" s="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2"/>
      <c r="D649" s="2"/>
      <c r="E649" s="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2"/>
      <c r="D650" s="2"/>
      <c r="E650" s="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2"/>
      <c r="D651" s="2"/>
      <c r="E651" s="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2"/>
      <c r="D652" s="2"/>
      <c r="E652" s="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2"/>
      <c r="D653" s="2"/>
      <c r="E653" s="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2"/>
      <c r="D654" s="2"/>
      <c r="E654" s="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2"/>
      <c r="D655" s="2"/>
      <c r="E655" s="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2"/>
      <c r="D656" s="2"/>
      <c r="E656" s="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2"/>
      <c r="D657" s="2"/>
      <c r="E657" s="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2"/>
      <c r="D658" s="2"/>
      <c r="E658" s="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2"/>
      <c r="D659" s="2"/>
      <c r="E659" s="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2"/>
      <c r="D660" s="2"/>
      <c r="E660" s="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2"/>
      <c r="D661" s="2"/>
      <c r="E661" s="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2"/>
      <c r="D662" s="2"/>
      <c r="E662" s="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2"/>
      <c r="D663" s="2"/>
      <c r="E663" s="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2"/>
      <c r="D664" s="2"/>
      <c r="E664" s="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2"/>
      <c r="D665" s="2"/>
      <c r="E665" s="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2"/>
      <c r="D666" s="2"/>
      <c r="E666" s="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2"/>
      <c r="D667" s="2"/>
      <c r="E667" s="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2"/>
      <c r="D668" s="2"/>
      <c r="E668" s="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2"/>
      <c r="D669" s="2"/>
      <c r="E669" s="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2"/>
      <c r="D670" s="2"/>
      <c r="E670" s="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2"/>
      <c r="D671" s="2"/>
      <c r="E671" s="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2"/>
      <c r="D672" s="2"/>
      <c r="E672" s="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2"/>
      <c r="D673" s="2"/>
      <c r="E673" s="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2"/>
      <c r="D674" s="2"/>
      <c r="E674" s="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2"/>
      <c r="D675" s="2"/>
      <c r="E675" s="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2"/>
      <c r="D676" s="2"/>
      <c r="E676" s="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2"/>
      <c r="D677" s="2"/>
      <c r="E677" s="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2"/>
      <c r="D678" s="2"/>
      <c r="E678" s="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2"/>
      <c r="D679" s="2"/>
      <c r="E679" s="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2"/>
      <c r="D680" s="2"/>
      <c r="E680" s="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2"/>
      <c r="D681" s="2"/>
      <c r="E681" s="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2"/>
      <c r="D682" s="2"/>
      <c r="E682" s="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2"/>
      <c r="D683" s="2"/>
      <c r="E683" s="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2"/>
      <c r="D684" s="2"/>
      <c r="E684" s="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2"/>
      <c r="D685" s="2"/>
      <c r="E685" s="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2"/>
      <c r="D686" s="2"/>
      <c r="E686" s="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2"/>
      <c r="D687" s="2"/>
      <c r="E687" s="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2"/>
      <c r="D688" s="2"/>
      <c r="E688" s="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2"/>
      <c r="D689" s="2"/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2"/>
      <c r="D690" s="2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2"/>
      <c r="D691" s="2"/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2"/>
      <c r="D692" s="2"/>
      <c r="E692" s="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2"/>
      <c r="D693" s="2"/>
      <c r="E693" s="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2"/>
      <c r="D694" s="2"/>
      <c r="E694" s="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2"/>
      <c r="D695" s="2"/>
      <c r="E695" s="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2"/>
      <c r="D696" s="2"/>
      <c r="E696" s="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2"/>
      <c r="D697" s="2"/>
      <c r="E697" s="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2"/>
      <c r="D698" s="2"/>
      <c r="E698" s="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2"/>
      <c r="D699" s="2"/>
      <c r="E699" s="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2"/>
      <c r="D700" s="2"/>
      <c r="E700" s="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2"/>
      <c r="D701" s="2"/>
      <c r="E701" s="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2"/>
      <c r="D702" s="2"/>
      <c r="E702" s="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2"/>
      <c r="D703" s="2"/>
      <c r="E703" s="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2"/>
      <c r="D704" s="2"/>
      <c r="E704" s="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2"/>
      <c r="D705" s="2"/>
      <c r="E705" s="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2"/>
      <c r="D706" s="2"/>
      <c r="E706" s="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2"/>
      <c r="D707" s="2"/>
      <c r="E707" s="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2"/>
      <c r="D708" s="2"/>
      <c r="E708" s="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2"/>
      <c r="D709" s="2"/>
      <c r="E709" s="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2"/>
      <c r="D710" s="2"/>
      <c r="E710" s="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2"/>
      <c r="D711" s="2"/>
      <c r="E711" s="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2"/>
      <c r="D712" s="2"/>
      <c r="E712" s="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2"/>
      <c r="D713" s="2"/>
      <c r="E713" s="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2"/>
      <c r="D714" s="2"/>
      <c r="E714" s="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2"/>
      <c r="D715" s="2"/>
      <c r="E715" s="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2"/>
      <c r="D716" s="2"/>
      <c r="E716" s="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2"/>
      <c r="D717" s="2"/>
      <c r="E717" s="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2"/>
      <c r="D718" s="2"/>
      <c r="E718" s="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2"/>
      <c r="D719" s="2"/>
      <c r="E719" s="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2"/>
      <c r="D720" s="2"/>
      <c r="E720" s="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2"/>
      <c r="D721" s="2"/>
      <c r="E721" s="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2"/>
      <c r="D722" s="2"/>
      <c r="E722" s="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2"/>
      <c r="D723" s="2"/>
      <c r="E723" s="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2"/>
      <c r="D724" s="2"/>
      <c r="E724" s="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2"/>
      <c r="D725" s="2"/>
      <c r="E725" s="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2"/>
      <c r="D726" s="2"/>
      <c r="E726" s="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2"/>
      <c r="D727" s="2"/>
      <c r="E727" s="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2"/>
      <c r="D728" s="2"/>
      <c r="E728" s="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2"/>
      <c r="D729" s="2"/>
      <c r="E729" s="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2"/>
      <c r="D730" s="2"/>
      <c r="E730" s="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2"/>
      <c r="D731" s="2"/>
      <c r="E731" s="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2"/>
      <c r="D732" s="2"/>
      <c r="E732" s="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2"/>
      <c r="D733" s="2"/>
      <c r="E733" s="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2"/>
      <c r="D734" s="2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2"/>
      <c r="D735" s="2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2"/>
      <c r="D736" s="2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2"/>
      <c r="D737" s="2"/>
      <c r="E737" s="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2"/>
      <c r="D738" s="2"/>
      <c r="E738" s="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2"/>
      <c r="D739" s="2"/>
      <c r="E739" s="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2"/>
      <c r="D740" s="2"/>
      <c r="E740" s="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2"/>
      <c r="D741" s="2"/>
      <c r="E741" s="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2"/>
      <c r="D742" s="2"/>
      <c r="E742" s="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2"/>
      <c r="D743" s="2"/>
      <c r="E743" s="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2"/>
      <c r="D744" s="2"/>
      <c r="E744" s="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2"/>
      <c r="D745" s="2"/>
      <c r="E745" s="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2"/>
      <c r="D746" s="2"/>
      <c r="E746" s="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2"/>
      <c r="D747" s="2"/>
      <c r="E747" s="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2"/>
      <c r="D748" s="2"/>
      <c r="E748" s="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2"/>
      <c r="D749" s="2"/>
      <c r="E749" s="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2"/>
      <c r="D750" s="2"/>
      <c r="E750" s="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2"/>
      <c r="D751" s="2"/>
      <c r="E751" s="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2"/>
      <c r="D752" s="2"/>
      <c r="E752" s="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2"/>
      <c r="D753" s="2"/>
      <c r="E753" s="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2"/>
      <c r="D754" s="2"/>
      <c r="E754" s="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2"/>
      <c r="D755" s="2"/>
      <c r="E755" s="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2"/>
      <c r="D756" s="2"/>
      <c r="E756" s="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2"/>
      <c r="D757" s="2"/>
      <c r="E757" s="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2"/>
      <c r="D758" s="2"/>
      <c r="E758" s="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2"/>
      <c r="D759" s="2"/>
      <c r="E759" s="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2"/>
      <c r="D760" s="2"/>
      <c r="E760" s="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2"/>
      <c r="D761" s="2"/>
      <c r="E761" s="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2"/>
      <c r="D762" s="2"/>
      <c r="E762" s="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2"/>
      <c r="D763" s="2"/>
      <c r="E763" s="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2"/>
      <c r="D764" s="2"/>
      <c r="E764" s="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2"/>
      <c r="D765" s="2"/>
      <c r="E765" s="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2"/>
      <c r="D766" s="2"/>
      <c r="E766" s="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2"/>
      <c r="D767" s="2"/>
      <c r="E767" s="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2"/>
      <c r="D768" s="2"/>
      <c r="E768" s="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2"/>
      <c r="D769" s="2"/>
      <c r="E769" s="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2"/>
      <c r="D770" s="2"/>
      <c r="E770" s="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2"/>
      <c r="D771" s="2"/>
      <c r="E771" s="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2"/>
      <c r="D772" s="2"/>
      <c r="E772" s="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2"/>
      <c r="D773" s="2"/>
      <c r="E773" s="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2"/>
      <c r="D774" s="2"/>
      <c r="E774" s="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2"/>
      <c r="D775" s="2"/>
      <c r="E775" s="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2"/>
      <c r="D776" s="2"/>
      <c r="E776" s="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2"/>
      <c r="D777" s="2"/>
      <c r="E777" s="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2"/>
      <c r="D778" s="2"/>
      <c r="E778" s="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2"/>
      <c r="D779" s="2"/>
      <c r="E779" s="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2"/>
      <c r="D780" s="2"/>
      <c r="E780" s="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2"/>
      <c r="D781" s="2"/>
      <c r="E781" s="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2"/>
      <c r="D782" s="2"/>
      <c r="E782" s="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2"/>
      <c r="D783" s="2"/>
      <c r="E783" s="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2"/>
      <c r="D784" s="2"/>
      <c r="E784" s="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2"/>
      <c r="D785" s="2"/>
      <c r="E785" s="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2"/>
      <c r="D786" s="2"/>
      <c r="E786" s="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2"/>
      <c r="D787" s="2"/>
      <c r="E787" s="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2"/>
      <c r="D788" s="2"/>
      <c r="E788" s="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2"/>
      <c r="D789" s="2"/>
      <c r="E789" s="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2"/>
      <c r="D790" s="2"/>
      <c r="E790" s="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2"/>
      <c r="D791" s="2"/>
      <c r="E791" s="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2"/>
      <c r="D792" s="2"/>
      <c r="E792" s="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2"/>
      <c r="D793" s="2"/>
      <c r="E793" s="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2"/>
      <c r="D794" s="2"/>
      <c r="E794" s="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2"/>
      <c r="D795" s="2"/>
      <c r="E795" s="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2"/>
      <c r="D796" s="2"/>
      <c r="E796" s="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2"/>
      <c r="D797" s="2"/>
      <c r="E797" s="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2"/>
      <c r="D798" s="2"/>
      <c r="E798" s="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2"/>
      <c r="D799" s="2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2"/>
      <c r="D800" s="2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2"/>
      <c r="D801" s="2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2"/>
      <c r="D802" s="2"/>
      <c r="E802" s="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2"/>
      <c r="D803" s="2"/>
      <c r="E803" s="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2"/>
      <c r="D804" s="2"/>
      <c r="E804" s="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2"/>
      <c r="D805" s="2"/>
      <c r="E805" s="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2"/>
      <c r="D806" s="2"/>
      <c r="E806" s="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2"/>
      <c r="D807" s="2"/>
      <c r="E807" s="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2"/>
      <c r="D808" s="2"/>
      <c r="E808" s="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2"/>
      <c r="D809" s="2"/>
      <c r="E809" s="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2"/>
      <c r="D810" s="2"/>
      <c r="E810" s="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2"/>
      <c r="D811" s="2"/>
      <c r="E811" s="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2"/>
      <c r="D812" s="2"/>
      <c r="E812" s="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2"/>
      <c r="D813" s="2"/>
      <c r="E813" s="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2"/>
      <c r="D814" s="2"/>
      <c r="E814" s="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2"/>
      <c r="D815" s="2"/>
      <c r="E815" s="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2"/>
      <c r="D816" s="2"/>
      <c r="E816" s="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2"/>
      <c r="D817" s="2"/>
      <c r="E817" s="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2"/>
      <c r="D818" s="2"/>
      <c r="E818" s="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2"/>
      <c r="D819" s="2"/>
      <c r="E819" s="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2"/>
      <c r="D820" s="2"/>
      <c r="E820" s="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2"/>
      <c r="D821" s="2"/>
      <c r="E821" s="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2"/>
      <c r="D822" s="2"/>
      <c r="E822" s="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2"/>
      <c r="D823" s="2"/>
      <c r="E823" s="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2"/>
      <c r="D824" s="2"/>
      <c r="E824" s="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2"/>
      <c r="D825" s="2"/>
      <c r="E825" s="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2"/>
      <c r="D826" s="2"/>
      <c r="E826" s="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2"/>
      <c r="D827" s="2"/>
      <c r="E827" s="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2"/>
      <c r="D828" s="2"/>
      <c r="E828" s="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2"/>
      <c r="D829" s="2"/>
      <c r="E829" s="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2"/>
      <c r="D830" s="2"/>
      <c r="E830" s="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2"/>
      <c r="D831" s="2"/>
      <c r="E831" s="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2"/>
      <c r="D832" s="2"/>
      <c r="E832" s="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2"/>
      <c r="D833" s="2"/>
      <c r="E833" s="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2"/>
      <c r="D834" s="2"/>
      <c r="E834" s="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2"/>
      <c r="D835" s="2"/>
      <c r="E835" s="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2"/>
      <c r="D836" s="2"/>
      <c r="E836" s="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2"/>
      <c r="D837" s="2"/>
      <c r="E837" s="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2"/>
      <c r="D838" s="2"/>
      <c r="E838" s="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2"/>
      <c r="D839" s="2"/>
      <c r="E839" s="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2"/>
      <c r="D840" s="2"/>
      <c r="E840" s="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2"/>
      <c r="D841" s="2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2"/>
      <c r="D842" s="2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2"/>
      <c r="D843" s="2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2"/>
      <c r="D844" s="2"/>
      <c r="E844" s="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2"/>
      <c r="D845" s="2"/>
      <c r="E845" s="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2"/>
      <c r="D846" s="2"/>
      <c r="E846" s="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2"/>
      <c r="D847" s="2"/>
      <c r="E847" s="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2"/>
      <c r="D848" s="2"/>
      <c r="E848" s="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2"/>
      <c r="D849" s="2"/>
      <c r="E849" s="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2"/>
      <c r="D850" s="2"/>
      <c r="E850" s="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2"/>
      <c r="D851" s="2"/>
      <c r="E851" s="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2"/>
      <c r="D852" s="2"/>
      <c r="E852" s="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2"/>
      <c r="D853" s="2"/>
      <c r="E853" s="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2"/>
      <c r="D854" s="2"/>
      <c r="E854" s="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2"/>
      <c r="D855" s="2"/>
      <c r="E855" s="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2"/>
      <c r="D856" s="2"/>
      <c r="E856" s="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2"/>
      <c r="D857" s="2"/>
      <c r="E857" s="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2"/>
      <c r="D858" s="2"/>
      <c r="E858" s="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2"/>
      <c r="D859" s="2"/>
      <c r="E859" s="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2"/>
      <c r="D860" s="2"/>
      <c r="E860" s="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2"/>
      <c r="D861" s="2"/>
      <c r="E861" s="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2"/>
      <c r="D862" s="2"/>
      <c r="E862" s="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2"/>
      <c r="D863" s="2"/>
      <c r="E863" s="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2"/>
      <c r="D864" s="2"/>
      <c r="E864" s="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2"/>
      <c r="D865" s="2"/>
      <c r="E865" s="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2"/>
      <c r="D866" s="2"/>
      <c r="E866" s="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2"/>
      <c r="D867" s="2"/>
      <c r="E867" s="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2"/>
      <c r="D868" s="2"/>
      <c r="E868" s="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2"/>
      <c r="D869" s="2"/>
      <c r="E869" s="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2"/>
      <c r="D870" s="2"/>
      <c r="E870" s="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2"/>
      <c r="D871" s="2"/>
      <c r="E871" s="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2"/>
      <c r="D872" s="2"/>
      <c r="E872" s="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2"/>
      <c r="D873" s="2"/>
      <c r="E873" s="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2"/>
      <c r="D874" s="2"/>
      <c r="E874" s="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2"/>
      <c r="D875" s="2"/>
      <c r="E875" s="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2"/>
      <c r="D876" s="2"/>
      <c r="E876" s="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2"/>
      <c r="D877" s="2"/>
      <c r="E877" s="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2"/>
      <c r="D878" s="2"/>
      <c r="E878" s="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2"/>
      <c r="D879" s="2"/>
      <c r="E879" s="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2"/>
      <c r="D880" s="2"/>
      <c r="E880" s="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2"/>
      <c r="D881" s="2"/>
      <c r="E881" s="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2"/>
      <c r="D882" s="2"/>
      <c r="E882" s="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2"/>
      <c r="D883" s="2"/>
      <c r="E883" s="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2"/>
      <c r="D884" s="2"/>
      <c r="E884" s="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2"/>
      <c r="D885" s="2"/>
      <c r="E885" s="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2"/>
      <c r="D886" s="2"/>
      <c r="E886" s="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2"/>
      <c r="D887" s="2"/>
      <c r="E887" s="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2"/>
      <c r="D888" s="2"/>
      <c r="E888" s="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2"/>
      <c r="D889" s="2"/>
      <c r="E889" s="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2"/>
      <c r="D890" s="2"/>
      <c r="E890" s="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2"/>
      <c r="D891" s="2"/>
      <c r="E891" s="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2"/>
      <c r="D892" s="2"/>
      <c r="E892" s="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2"/>
      <c r="D893" s="2"/>
      <c r="E893" s="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2"/>
      <c r="D894" s="2"/>
      <c r="E894" s="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2"/>
      <c r="D895" s="2"/>
      <c r="E895" s="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2"/>
      <c r="D896" s="2"/>
      <c r="E896" s="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2"/>
      <c r="D897" s="2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2"/>
      <c r="D898" s="2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2"/>
      <c r="D899" s="2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2"/>
      <c r="D900" s="2"/>
      <c r="E900" s="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2"/>
      <c r="D901" s="2"/>
      <c r="E901" s="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2"/>
      <c r="D902" s="2"/>
      <c r="E902" s="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2"/>
      <c r="D903" s="2"/>
      <c r="E903" s="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2"/>
      <c r="D904" s="2"/>
      <c r="E904" s="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2"/>
      <c r="D905" s="2"/>
      <c r="E905" s="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2"/>
      <c r="D906" s="2"/>
      <c r="E906" s="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2"/>
      <c r="D907" s="2"/>
      <c r="E907" s="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2"/>
      <c r="D908" s="2"/>
      <c r="E908" s="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2"/>
      <c r="D909" s="2"/>
      <c r="E909" s="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2"/>
      <c r="D910" s="2"/>
      <c r="E910" s="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2"/>
      <c r="D911" s="2"/>
      <c r="E911" s="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2"/>
      <c r="D912" s="2"/>
      <c r="E912" s="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2"/>
      <c r="D913" s="2"/>
      <c r="E913" s="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2"/>
      <c r="D914" s="2"/>
      <c r="E914" s="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2"/>
      <c r="D915" s="2"/>
      <c r="E915" s="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2"/>
      <c r="D916" s="2"/>
      <c r="E916" s="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2"/>
      <c r="D917" s="2"/>
      <c r="E917" s="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2"/>
      <c r="D918" s="2"/>
      <c r="E918" s="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2"/>
      <c r="D919" s="2"/>
      <c r="E919" s="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2"/>
      <c r="D920" s="2"/>
      <c r="E920" s="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2"/>
      <c r="D921" s="2"/>
      <c r="E921" s="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2"/>
      <c r="D922" s="2"/>
      <c r="E922" s="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2"/>
      <c r="D923" s="2"/>
      <c r="E923" s="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2"/>
      <c r="D924" s="2"/>
      <c r="E924" s="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2"/>
      <c r="D925" s="2"/>
      <c r="E925" s="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2"/>
      <c r="D926" s="2"/>
      <c r="E926" s="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2"/>
      <c r="D927" s="2"/>
      <c r="E927" s="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2"/>
      <c r="D928" s="2"/>
      <c r="E928" s="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2"/>
      <c r="D929" s="2"/>
      <c r="E929" s="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2"/>
      <c r="D930" s="2"/>
      <c r="E930" s="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2"/>
      <c r="D931" s="2"/>
      <c r="E931" s="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2"/>
      <c r="D932" s="2"/>
      <c r="E932" s="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2"/>
      <c r="D933" s="2"/>
      <c r="E933" s="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2"/>
      <c r="D934" s="2"/>
      <c r="E934" s="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2"/>
      <c r="D935" s="2"/>
      <c r="E935" s="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2"/>
      <c r="D936" s="2"/>
      <c r="E936" s="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2"/>
      <c r="D937" s="2"/>
      <c r="E937" s="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2"/>
      <c r="D938" s="2"/>
      <c r="E938" s="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2"/>
      <c r="D939" s="2"/>
      <c r="E939" s="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2"/>
      <c r="D940" s="2"/>
      <c r="E940" s="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2"/>
      <c r="D941" s="2"/>
      <c r="E941" s="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2"/>
      <c r="D942" s="2"/>
      <c r="E942" s="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2"/>
      <c r="D943" s="2"/>
      <c r="E943" s="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2"/>
      <c r="D944" s="2"/>
      <c r="E944" s="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2"/>
      <c r="D945" s="2"/>
      <c r="E945" s="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2"/>
      <c r="D946" s="2"/>
      <c r="E946" s="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2"/>
      <c r="D947" s="2"/>
      <c r="E947" s="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2"/>
      <c r="D948" s="2"/>
      <c r="E948" s="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2"/>
      <c r="D949" s="2"/>
      <c r="E949" s="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2"/>
      <c r="D950" s="2"/>
      <c r="E950" s="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2"/>
      <c r="D951" s="2"/>
      <c r="E951" s="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2"/>
      <c r="D952" s="2"/>
      <c r="E952" s="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2"/>
      <c r="D953" s="2"/>
      <c r="E953" s="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2"/>
      <c r="D954" s="2"/>
      <c r="E954" s="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2"/>
      <c r="D955" s="2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2"/>
      <c r="D956" s="2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2"/>
      <c r="D957" s="2"/>
      <c r="E957" s="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2"/>
      <c r="D958" s="2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2"/>
      <c r="D959" s="2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2"/>
      <c r="D960" s="2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2"/>
      <c r="D961" s="2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2"/>
      <c r="D962" s="2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2"/>
      <c r="D963" s="2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2"/>
      <c r="D964" s="2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2"/>
      <c r="D965" s="2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2"/>
      <c r="D966" s="2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2"/>
      <c r="D967" s="2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2"/>
      <c r="D968" s="2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2"/>
      <c r="D969" s="2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2"/>
      <c r="D970" s="2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2"/>
      <c r="D971" s="2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2"/>
      <c r="D972" s="2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2"/>
      <c r="D973" s="2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2"/>
      <c r="D974" s="2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2"/>
      <c r="D975" s="2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2"/>
      <c r="D976" s="2"/>
      <c r="E976" s="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2"/>
      <c r="D977" s="2"/>
      <c r="E977" s="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2"/>
      <c r="D978" s="2"/>
      <c r="E978" s="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2"/>
      <c r="D979" s="2"/>
      <c r="E979" s="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2"/>
      <c r="D980" s="2"/>
      <c r="E980" s="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2"/>
      <c r="D981" s="2"/>
      <c r="E981" s="2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2"/>
      <c r="D982" s="2"/>
      <c r="E982" s="2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2"/>
      <c r="D983" s="2"/>
      <c r="E983" s="2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2"/>
      <c r="D984" s="2"/>
      <c r="E984" s="2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2"/>
      <c r="D985" s="2"/>
      <c r="E985" s="2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2"/>
      <c r="D986" s="2"/>
      <c r="E986" s="2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2"/>
      <c r="D987" s="2"/>
      <c r="E987" s="2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2"/>
      <c r="D988" s="2"/>
      <c r="E988" s="2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2"/>
      <c r="D989" s="2"/>
      <c r="E989" s="2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2"/>
      <c r="D990" s="2"/>
      <c r="E990" s="2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2"/>
      <c r="D991" s="2"/>
      <c r="E991" s="2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2"/>
      <c r="D992" s="2"/>
      <c r="E992" s="2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2"/>
      <c r="D993" s="2"/>
      <c r="E993" s="2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2"/>
      <c r="D994" s="2"/>
      <c r="E994" s="2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2"/>
      <c r="D995" s="2"/>
      <c r="E995" s="2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2"/>
      <c r="D996" s="2"/>
      <c r="E996" s="2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2"/>
      <c r="D997" s="2"/>
      <c r="E997" s="2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2"/>
      <c r="D998" s="2"/>
      <c r="E998" s="2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2"/>
      <c r="D999" s="2"/>
      <c r="E999" s="2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2"/>
      <c r="D1000" s="2"/>
      <c r="E1000" s="2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2"/>
      <c r="C1001" s="2"/>
      <c r="D1001" s="2"/>
      <c r="E1001" s="2"/>
      <c r="F1001" s="2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2"/>
      <c r="C1002" s="2"/>
      <c r="D1002" s="2"/>
      <c r="E1002" s="2"/>
      <c r="F1002" s="2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2"/>
      <c r="C1003" s="2"/>
      <c r="D1003" s="2"/>
      <c r="E1003" s="2"/>
      <c r="F1003" s="2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2"/>
      <c r="C1004" s="2"/>
      <c r="D1004" s="2"/>
      <c r="E1004" s="2"/>
      <c r="F1004" s="2"/>
      <c r="G1004" s="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2"/>
      <c r="C1005" s="2"/>
      <c r="D1005" s="2"/>
      <c r="E1005" s="2"/>
      <c r="F1005" s="2"/>
      <c r="G1005" s="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2"/>
      <c r="C1006" s="2"/>
      <c r="D1006" s="2"/>
      <c r="E1006" s="2"/>
      <c r="F1006" s="2"/>
      <c r="G1006" s="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printOptions/>
  <pageMargins bottom="0.75" footer="0.0" header="0.0" left="0.7" right="0.7" top="0.75"/>
  <pageSetup orientation="landscape"/>
  <headerFoot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4.25"/>
    <col customWidth="1" min="3" max="3" width="17.75"/>
    <col customWidth="1" min="4" max="4" width="12.25"/>
    <col customWidth="1" min="5" max="5" width="15.63"/>
    <col customWidth="1" min="6" max="6" width="12.0"/>
    <col customWidth="1" min="7" max="7" width="10.38"/>
    <col customWidth="1" min="8" max="8" width="14.38"/>
    <col customWidth="1" min="9" max="26" width="10.0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5.5" customHeight="1">
      <c r="A3" s="3" t="s">
        <v>1</v>
      </c>
      <c r="B3" s="3"/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5" t="s">
        <v>9</v>
      </c>
      <c r="B4" s="3">
        <v>1.0</v>
      </c>
      <c r="C4" s="6" t="s">
        <v>10</v>
      </c>
      <c r="D4" s="3" t="s">
        <v>11</v>
      </c>
      <c r="E4" s="2" t="s">
        <v>8</v>
      </c>
      <c r="F4" s="3">
        <v>1.0</v>
      </c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5" t="s">
        <v>12</v>
      </c>
      <c r="B5" s="3">
        <v>1.0</v>
      </c>
      <c r="C5" s="3"/>
      <c r="D5" s="2" t="s">
        <v>11</v>
      </c>
      <c r="E5" s="2" t="s">
        <v>8</v>
      </c>
      <c r="F5" s="3">
        <v>2.0</v>
      </c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5" t="s">
        <v>13</v>
      </c>
      <c r="B6" s="3">
        <v>1.0</v>
      </c>
      <c r="C6" s="3"/>
      <c r="D6" s="2" t="s">
        <v>11</v>
      </c>
      <c r="E6" s="2" t="s">
        <v>8</v>
      </c>
      <c r="F6" s="3">
        <v>1.0</v>
      </c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5" t="s">
        <v>13</v>
      </c>
      <c r="B7" s="3"/>
      <c r="C7" s="3" t="s">
        <v>14</v>
      </c>
      <c r="D7" s="2" t="s">
        <v>11</v>
      </c>
      <c r="E7" s="2" t="s">
        <v>8</v>
      </c>
      <c r="F7" s="3">
        <v>1.0</v>
      </c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5" t="s">
        <v>13</v>
      </c>
      <c r="B8" s="3"/>
      <c r="C8" s="3" t="s">
        <v>15</v>
      </c>
      <c r="D8" s="2" t="s">
        <v>11</v>
      </c>
      <c r="E8" s="2" t="s">
        <v>8</v>
      </c>
      <c r="F8" s="3">
        <v>1.0</v>
      </c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5" t="s">
        <v>13</v>
      </c>
      <c r="B9" s="3"/>
      <c r="C9" s="3" t="s">
        <v>16</v>
      </c>
      <c r="D9" s="2" t="s">
        <v>11</v>
      </c>
      <c r="E9" s="2" t="s">
        <v>8</v>
      </c>
      <c r="F9" s="3">
        <v>1.0</v>
      </c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5" t="s">
        <v>13</v>
      </c>
      <c r="B10" s="3"/>
      <c r="C10" s="3" t="s">
        <v>17</v>
      </c>
      <c r="D10" s="2" t="s">
        <v>11</v>
      </c>
      <c r="E10" s="2" t="s">
        <v>8</v>
      </c>
      <c r="F10" s="3">
        <v>1.0</v>
      </c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 t="s">
        <v>18</v>
      </c>
      <c r="B11" s="3">
        <v>1.0</v>
      </c>
      <c r="C11" s="3"/>
      <c r="D11" s="2" t="s">
        <v>11</v>
      </c>
      <c r="E11" s="2" t="s">
        <v>8</v>
      </c>
      <c r="F11" s="3">
        <v>1.0</v>
      </c>
      <c r="G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5" t="s">
        <v>21</v>
      </c>
      <c r="B12" s="3">
        <v>1.0</v>
      </c>
      <c r="C12" s="2"/>
      <c r="D12" s="2" t="s">
        <v>11</v>
      </c>
      <c r="E12" s="2" t="s">
        <v>8</v>
      </c>
      <c r="F12" s="2">
        <v>1.0</v>
      </c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5" t="s">
        <v>21</v>
      </c>
      <c r="B13" s="3"/>
      <c r="C13" s="2" t="s">
        <v>22</v>
      </c>
      <c r="D13" s="2" t="s">
        <v>11</v>
      </c>
      <c r="E13" s="2" t="s">
        <v>8</v>
      </c>
      <c r="F13" s="2">
        <v>1.0</v>
      </c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5" t="s">
        <v>21</v>
      </c>
      <c r="B14" s="3"/>
      <c r="C14" s="2" t="s">
        <v>23</v>
      </c>
      <c r="D14" s="2" t="s">
        <v>11</v>
      </c>
      <c r="E14" s="2" t="s">
        <v>8</v>
      </c>
      <c r="F14" s="2">
        <v>1.0</v>
      </c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 t="s">
        <v>24</v>
      </c>
      <c r="B15" s="3">
        <v>1.0</v>
      </c>
      <c r="C15" s="2"/>
      <c r="D15" s="2" t="s">
        <v>11</v>
      </c>
      <c r="E15" s="2" t="s">
        <v>8</v>
      </c>
      <c r="F15" s="2">
        <v>1.0</v>
      </c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 t="s">
        <v>24</v>
      </c>
      <c r="B16" s="3"/>
      <c r="C16" s="2" t="s">
        <v>25</v>
      </c>
      <c r="D16" s="2" t="s">
        <v>11</v>
      </c>
      <c r="E16" s="2" t="s">
        <v>8</v>
      </c>
      <c r="F16" s="2">
        <v>1.0</v>
      </c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 t="s">
        <v>24</v>
      </c>
      <c r="B17" s="3"/>
      <c r="C17" s="2" t="s">
        <v>26</v>
      </c>
      <c r="D17" s="2" t="s">
        <v>11</v>
      </c>
      <c r="E17" s="2" t="s">
        <v>8</v>
      </c>
      <c r="F17" s="2">
        <v>1.0</v>
      </c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 t="s">
        <v>24</v>
      </c>
      <c r="B18" s="3"/>
      <c r="C18" s="7">
        <v>0.0</v>
      </c>
      <c r="D18" s="2" t="s">
        <v>11</v>
      </c>
      <c r="E18" s="2" t="s">
        <v>8</v>
      </c>
      <c r="F18" s="2">
        <v>1.0</v>
      </c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 t="s">
        <v>27</v>
      </c>
      <c r="B19" s="3">
        <v>1.0</v>
      </c>
      <c r="C19" s="2"/>
      <c r="D19" s="2" t="s">
        <v>11</v>
      </c>
      <c r="E19" s="2" t="s">
        <v>8</v>
      </c>
      <c r="F19" s="2">
        <v>1.0</v>
      </c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 t="s">
        <v>27</v>
      </c>
      <c r="B20" s="3"/>
      <c r="C20" s="2" t="s">
        <v>29</v>
      </c>
      <c r="D20" s="2" t="s">
        <v>11</v>
      </c>
      <c r="E20" s="2" t="s">
        <v>8</v>
      </c>
      <c r="F20" s="2">
        <v>1.0</v>
      </c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 t="s">
        <v>30</v>
      </c>
      <c r="B21" s="2">
        <v>1.0</v>
      </c>
      <c r="C21" s="2"/>
      <c r="D21" s="2" t="s">
        <v>11</v>
      </c>
      <c r="E21" s="2" t="s">
        <v>8</v>
      </c>
      <c r="F21" s="2">
        <v>1.0</v>
      </c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 t="s">
        <v>30</v>
      </c>
      <c r="B22" s="2"/>
      <c r="C22" s="2" t="s">
        <v>31</v>
      </c>
      <c r="D22" s="2" t="s">
        <v>11</v>
      </c>
      <c r="E22" s="2" t="s">
        <v>8</v>
      </c>
      <c r="F22" s="2">
        <v>1.0</v>
      </c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 t="s">
        <v>32</v>
      </c>
      <c r="B23" s="2">
        <v>1.0</v>
      </c>
      <c r="C23" s="2"/>
      <c r="D23" s="2" t="s">
        <v>11</v>
      </c>
      <c r="E23" s="2" t="s">
        <v>8</v>
      </c>
      <c r="F23" s="2">
        <v>1.0</v>
      </c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 t="s">
        <v>33</v>
      </c>
      <c r="B24" s="2">
        <v>1.0</v>
      </c>
      <c r="C24" s="2"/>
      <c r="D24" s="2" t="s">
        <v>11</v>
      </c>
      <c r="E24" s="2" t="s">
        <v>8</v>
      </c>
      <c r="F24" s="2">
        <v>1.0</v>
      </c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 t="s">
        <v>33</v>
      </c>
      <c r="B25" s="2"/>
      <c r="C25" s="2" t="s">
        <v>34</v>
      </c>
      <c r="D25" s="2" t="s">
        <v>11</v>
      </c>
      <c r="E25" s="2" t="s">
        <v>8</v>
      </c>
      <c r="F25" s="2">
        <v>1.0</v>
      </c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 t="s">
        <v>33</v>
      </c>
      <c r="B26" s="2"/>
      <c r="C26" s="2" t="s">
        <v>35</v>
      </c>
      <c r="D26" s="2" t="s">
        <v>11</v>
      </c>
      <c r="E26" s="2" t="s">
        <v>8</v>
      </c>
      <c r="F26" s="2">
        <v>1.0</v>
      </c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 t="s">
        <v>33</v>
      </c>
      <c r="B27" s="2"/>
      <c r="C27" s="2" t="s">
        <v>36</v>
      </c>
      <c r="D27" s="2" t="s">
        <v>11</v>
      </c>
      <c r="E27" s="2" t="s">
        <v>8</v>
      </c>
      <c r="F27" s="2">
        <v>1.0</v>
      </c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 t="s">
        <v>37</v>
      </c>
      <c r="B28" s="3">
        <v>1.0</v>
      </c>
      <c r="C28" s="2" t="s">
        <v>817</v>
      </c>
      <c r="D28" s="2" t="s">
        <v>11</v>
      </c>
      <c r="E28" s="2" t="s">
        <v>8</v>
      </c>
      <c r="F28" s="2">
        <v>1.0</v>
      </c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 t="s">
        <v>37</v>
      </c>
      <c r="B29" s="3"/>
      <c r="C29" s="2" t="s">
        <v>39</v>
      </c>
      <c r="D29" s="2" t="s">
        <v>11</v>
      </c>
      <c r="E29" s="2" t="s">
        <v>8</v>
      </c>
      <c r="F29" s="2">
        <v>1.0</v>
      </c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 t="s">
        <v>40</v>
      </c>
      <c r="B30" s="3">
        <v>1.0</v>
      </c>
      <c r="C30" s="2" t="s">
        <v>41</v>
      </c>
      <c r="D30" s="2" t="s">
        <v>11</v>
      </c>
      <c r="E30" s="2" t="s">
        <v>8</v>
      </c>
      <c r="F30" s="2">
        <v>1.0</v>
      </c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 t="s">
        <v>40</v>
      </c>
      <c r="B31" s="3"/>
      <c r="C31" s="2" t="s">
        <v>39</v>
      </c>
      <c r="D31" s="2" t="s">
        <v>11</v>
      </c>
      <c r="E31" s="2" t="s">
        <v>8</v>
      </c>
      <c r="F31" s="2">
        <v>1.0</v>
      </c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 t="s">
        <v>40</v>
      </c>
      <c r="B32" s="3"/>
      <c r="C32" s="2" t="s">
        <v>29</v>
      </c>
      <c r="D32" s="2" t="s">
        <v>11</v>
      </c>
      <c r="E32" s="2" t="s">
        <v>8</v>
      </c>
      <c r="F32" s="2">
        <v>1.0</v>
      </c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 t="s">
        <v>45</v>
      </c>
      <c r="B33" s="2">
        <v>1.0</v>
      </c>
      <c r="C33" s="2" t="s">
        <v>46</v>
      </c>
      <c r="D33" s="2" t="s">
        <v>11</v>
      </c>
      <c r="E33" s="2" t="s">
        <v>8</v>
      </c>
      <c r="F33" s="2">
        <v>1.0</v>
      </c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 t="s">
        <v>45</v>
      </c>
      <c r="B34" s="2"/>
      <c r="C34" s="2" t="s">
        <v>47</v>
      </c>
      <c r="D34" s="2" t="s">
        <v>11</v>
      </c>
      <c r="E34" s="2" t="s">
        <v>8</v>
      </c>
      <c r="F34" s="2">
        <v>1.0</v>
      </c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 t="s">
        <v>45</v>
      </c>
      <c r="B35" s="2"/>
      <c r="C35" s="2" t="s">
        <v>48</v>
      </c>
      <c r="D35" s="2" t="s">
        <v>11</v>
      </c>
      <c r="E35" s="2" t="s">
        <v>8</v>
      </c>
      <c r="F35" s="2">
        <v>1.0</v>
      </c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 t="s">
        <v>45</v>
      </c>
      <c r="B36" s="2"/>
      <c r="C36" s="2" t="s">
        <v>49</v>
      </c>
      <c r="D36" s="2" t="s">
        <v>11</v>
      </c>
      <c r="E36" s="2" t="s">
        <v>8</v>
      </c>
      <c r="F36" s="2">
        <v>1.0</v>
      </c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 t="s">
        <v>50</v>
      </c>
      <c r="B37" s="2">
        <v>1.0</v>
      </c>
      <c r="C37" s="2"/>
      <c r="D37" s="2" t="s">
        <v>11</v>
      </c>
      <c r="E37" s="2" t="s">
        <v>8</v>
      </c>
      <c r="F37" s="2">
        <v>1.0</v>
      </c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 t="s">
        <v>51</v>
      </c>
      <c r="B38" s="2">
        <v>1.0</v>
      </c>
      <c r="C38" s="2" t="s">
        <v>818</v>
      </c>
      <c r="D38" s="2" t="s">
        <v>11</v>
      </c>
      <c r="E38" s="2" t="s">
        <v>8</v>
      </c>
      <c r="F38" s="2">
        <v>2.0</v>
      </c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 t="s">
        <v>51</v>
      </c>
      <c r="B39" s="2"/>
      <c r="C39" s="2" t="s">
        <v>53</v>
      </c>
      <c r="D39" s="2" t="s">
        <v>11</v>
      </c>
      <c r="E39" s="2" t="s">
        <v>8</v>
      </c>
      <c r="F39" s="2">
        <v>1.0</v>
      </c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 t="s">
        <v>51</v>
      </c>
      <c r="B40" s="2"/>
      <c r="C40" s="2" t="s">
        <v>54</v>
      </c>
      <c r="D40" s="2" t="s">
        <v>11</v>
      </c>
      <c r="E40" s="2" t="s">
        <v>8</v>
      </c>
      <c r="F40" s="2">
        <v>1.0</v>
      </c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 t="s">
        <v>51</v>
      </c>
      <c r="B41" s="2"/>
      <c r="C41" s="2" t="s">
        <v>55</v>
      </c>
      <c r="D41" s="2" t="s">
        <v>11</v>
      </c>
      <c r="E41" s="2" t="s">
        <v>8</v>
      </c>
      <c r="F41" s="2">
        <v>1.0</v>
      </c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 t="s">
        <v>56</v>
      </c>
      <c r="B42" s="2">
        <v>1.0</v>
      </c>
      <c r="C42" s="2"/>
      <c r="D42" s="2" t="s">
        <v>11</v>
      </c>
      <c r="E42" s="2" t="s">
        <v>8</v>
      </c>
      <c r="F42" s="2">
        <v>1.0</v>
      </c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 t="s">
        <v>57</v>
      </c>
      <c r="B43" s="2">
        <v>1.0</v>
      </c>
      <c r="C43" s="2" t="s">
        <v>39</v>
      </c>
      <c r="D43" s="2" t="s">
        <v>11</v>
      </c>
      <c r="E43" s="2" t="s">
        <v>8</v>
      </c>
      <c r="F43" s="2">
        <v>1.0</v>
      </c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 t="s">
        <v>58</v>
      </c>
      <c r="B44" s="2">
        <v>1.0</v>
      </c>
      <c r="C44" s="2"/>
      <c r="D44" s="2" t="s">
        <v>11</v>
      </c>
      <c r="E44" s="2" t="s">
        <v>8</v>
      </c>
      <c r="F44" s="2">
        <v>1.0</v>
      </c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 t="s">
        <v>59</v>
      </c>
      <c r="B45" s="2">
        <v>1.0</v>
      </c>
      <c r="C45" s="2"/>
      <c r="D45" s="2" t="s">
        <v>11</v>
      </c>
      <c r="E45" s="2" t="s">
        <v>8</v>
      </c>
      <c r="F45" s="2">
        <v>1.0</v>
      </c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8" t="s">
        <v>62</v>
      </c>
      <c r="B46" s="9">
        <v>1.0</v>
      </c>
      <c r="C46" s="9" t="s">
        <v>63</v>
      </c>
      <c r="D46" s="2" t="s">
        <v>11</v>
      </c>
      <c r="E46" s="2" t="s">
        <v>8</v>
      </c>
      <c r="F46" s="2">
        <v>1.0</v>
      </c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 t="s">
        <v>66</v>
      </c>
      <c r="B47" s="2">
        <v>1.0</v>
      </c>
      <c r="C47" s="2" t="s">
        <v>39</v>
      </c>
      <c r="D47" s="2" t="s">
        <v>11</v>
      </c>
      <c r="E47" s="2" t="s">
        <v>8</v>
      </c>
      <c r="F47" s="2">
        <v>1.0</v>
      </c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 t="s">
        <v>66</v>
      </c>
      <c r="B48" s="2"/>
      <c r="C48" s="2" t="s">
        <v>67</v>
      </c>
      <c r="D48" s="2" t="s">
        <v>11</v>
      </c>
      <c r="E48" s="2" t="s">
        <v>8</v>
      </c>
      <c r="F48" s="2">
        <v>1.0</v>
      </c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 t="s">
        <v>68</v>
      </c>
      <c r="B49" s="2">
        <v>1.0</v>
      </c>
      <c r="C49" s="2" t="s">
        <v>70</v>
      </c>
      <c r="D49" s="2" t="s">
        <v>11</v>
      </c>
      <c r="E49" s="2" t="s">
        <v>8</v>
      </c>
      <c r="F49" s="2">
        <v>1.0</v>
      </c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 t="s">
        <v>71</v>
      </c>
      <c r="B50" s="2">
        <v>1.0</v>
      </c>
      <c r="C50" s="2"/>
      <c r="D50" s="2" t="s">
        <v>11</v>
      </c>
      <c r="E50" s="2" t="s">
        <v>8</v>
      </c>
      <c r="F50" s="2">
        <v>1.0</v>
      </c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 t="s">
        <v>72</v>
      </c>
      <c r="B51" s="2">
        <v>1.0</v>
      </c>
      <c r="C51" s="2" t="s">
        <v>39</v>
      </c>
      <c r="D51" s="2" t="s">
        <v>73</v>
      </c>
      <c r="E51" s="2" t="s">
        <v>8</v>
      </c>
      <c r="F51" s="2">
        <v>1.0</v>
      </c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 t="s">
        <v>72</v>
      </c>
      <c r="B52" s="2"/>
      <c r="C52" s="2" t="s">
        <v>35</v>
      </c>
      <c r="D52" s="2" t="s">
        <v>73</v>
      </c>
      <c r="E52" s="2" t="s">
        <v>8</v>
      </c>
      <c r="F52" s="2">
        <v>1.0</v>
      </c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 t="s">
        <v>72</v>
      </c>
      <c r="B53" s="2"/>
      <c r="C53" s="2" t="s">
        <v>74</v>
      </c>
      <c r="D53" s="2" t="s">
        <v>73</v>
      </c>
      <c r="E53" s="2" t="s">
        <v>8</v>
      </c>
      <c r="F53" s="2">
        <v>1.0</v>
      </c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 t="s">
        <v>72</v>
      </c>
      <c r="B54" s="2"/>
      <c r="C54" s="2" t="s">
        <v>819</v>
      </c>
      <c r="D54" s="2" t="s">
        <v>73</v>
      </c>
      <c r="E54" s="2" t="s">
        <v>8</v>
      </c>
      <c r="F54" s="2">
        <v>1.0</v>
      </c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 t="s">
        <v>72</v>
      </c>
      <c r="B55" s="2"/>
      <c r="C55" s="2" t="s">
        <v>76</v>
      </c>
      <c r="D55" s="2" t="s">
        <v>73</v>
      </c>
      <c r="E55" s="2" t="s">
        <v>8</v>
      </c>
      <c r="F55" s="2">
        <v>1.0</v>
      </c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 t="s">
        <v>77</v>
      </c>
      <c r="B56" s="2">
        <v>1.0</v>
      </c>
      <c r="C56" s="2"/>
      <c r="D56" s="2" t="s">
        <v>11</v>
      </c>
      <c r="E56" s="2" t="s">
        <v>8</v>
      </c>
      <c r="F56" s="2">
        <v>1.0</v>
      </c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 t="s">
        <v>78</v>
      </c>
      <c r="B57" s="2">
        <v>1.0</v>
      </c>
      <c r="C57" s="2" t="s">
        <v>79</v>
      </c>
      <c r="D57" s="2" t="s">
        <v>11</v>
      </c>
      <c r="E57" s="2" t="s">
        <v>8</v>
      </c>
      <c r="F57" s="2">
        <v>1.0</v>
      </c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 t="s">
        <v>78</v>
      </c>
      <c r="B58" s="2"/>
      <c r="C58" s="2" t="s">
        <v>10</v>
      </c>
      <c r="D58" s="2" t="s">
        <v>11</v>
      </c>
      <c r="E58" s="2" t="s">
        <v>8</v>
      </c>
      <c r="F58" s="2">
        <v>1.0</v>
      </c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 t="s">
        <v>78</v>
      </c>
      <c r="B59" s="2"/>
      <c r="C59" s="2" t="s">
        <v>41</v>
      </c>
      <c r="D59" s="2" t="s">
        <v>11</v>
      </c>
      <c r="E59" s="2" t="s">
        <v>8</v>
      </c>
      <c r="F59" s="2">
        <v>2.0</v>
      </c>
      <c r="G59" s="2" t="s">
        <v>80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 t="s">
        <v>81</v>
      </c>
      <c r="B60" s="2">
        <v>1.0</v>
      </c>
      <c r="C60" s="2"/>
      <c r="D60" s="2" t="s">
        <v>11</v>
      </c>
      <c r="E60" s="2" t="s">
        <v>8</v>
      </c>
      <c r="F60" s="2">
        <v>2.0</v>
      </c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 t="s">
        <v>82</v>
      </c>
      <c r="B61" s="2">
        <v>1.0</v>
      </c>
      <c r="C61" s="2"/>
      <c r="D61" s="2" t="s">
        <v>11</v>
      </c>
      <c r="E61" s="2" t="s">
        <v>8</v>
      </c>
      <c r="F61" s="2">
        <v>2.0</v>
      </c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 t="s">
        <v>82</v>
      </c>
      <c r="B62" s="2"/>
      <c r="C62" s="2" t="s">
        <v>41</v>
      </c>
      <c r="D62" s="2" t="s">
        <v>11</v>
      </c>
      <c r="E62" s="2" t="s">
        <v>8</v>
      </c>
      <c r="F62" s="2">
        <v>1.0</v>
      </c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 t="s">
        <v>82</v>
      </c>
      <c r="B63" s="2"/>
      <c r="C63" s="2" t="s">
        <v>84</v>
      </c>
      <c r="D63" s="2" t="s">
        <v>11</v>
      </c>
      <c r="E63" s="2" t="s">
        <v>8</v>
      </c>
      <c r="F63" s="2">
        <v>1.0</v>
      </c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 t="s">
        <v>85</v>
      </c>
      <c r="B64" s="2">
        <v>1.0</v>
      </c>
      <c r="C64" s="2"/>
      <c r="D64" s="2" t="s">
        <v>11</v>
      </c>
      <c r="E64" s="2" t="s">
        <v>8</v>
      </c>
      <c r="F64" s="2">
        <v>1.0</v>
      </c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 t="s">
        <v>85</v>
      </c>
      <c r="B65" s="2"/>
      <c r="C65" s="2" t="s">
        <v>84</v>
      </c>
      <c r="D65" s="2" t="s">
        <v>11</v>
      </c>
      <c r="E65" s="2" t="s">
        <v>8</v>
      </c>
      <c r="F65" s="2">
        <v>1.0</v>
      </c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 t="s">
        <v>86</v>
      </c>
      <c r="B66" s="2">
        <v>1.0</v>
      </c>
      <c r="C66" s="2" t="s">
        <v>41</v>
      </c>
      <c r="D66" s="2" t="s">
        <v>11</v>
      </c>
      <c r="E66" s="2" t="s">
        <v>8</v>
      </c>
      <c r="F66" s="2">
        <v>1.0</v>
      </c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 t="s">
        <v>87</v>
      </c>
      <c r="B67" s="2">
        <v>1.0</v>
      </c>
      <c r="C67" s="2"/>
      <c r="D67" s="2" t="s">
        <v>11</v>
      </c>
      <c r="E67" s="2" t="s">
        <v>8</v>
      </c>
      <c r="F67" s="2">
        <v>1.0</v>
      </c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 t="s">
        <v>88</v>
      </c>
      <c r="B68" s="2">
        <v>1.0</v>
      </c>
      <c r="C68" s="2"/>
      <c r="D68" s="2" t="s">
        <v>11</v>
      </c>
      <c r="E68" s="2" t="s">
        <v>8</v>
      </c>
      <c r="F68" s="2">
        <v>1.0</v>
      </c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 t="s">
        <v>89</v>
      </c>
      <c r="B69" s="2">
        <v>1.0</v>
      </c>
      <c r="C69" s="2"/>
      <c r="D69" s="2" t="s">
        <v>11</v>
      </c>
      <c r="E69" s="2" t="s">
        <v>8</v>
      </c>
      <c r="F69" s="2">
        <v>1.0</v>
      </c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 t="s">
        <v>90</v>
      </c>
      <c r="B70" s="2">
        <v>1.0</v>
      </c>
      <c r="C70" s="2" t="s">
        <v>39</v>
      </c>
      <c r="D70" s="2" t="s">
        <v>11</v>
      </c>
      <c r="E70" s="2" t="s">
        <v>8</v>
      </c>
      <c r="F70" s="2">
        <v>1.0</v>
      </c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 t="s">
        <v>90</v>
      </c>
      <c r="B71" s="2"/>
      <c r="C71" s="2" t="s">
        <v>820</v>
      </c>
      <c r="D71" s="2" t="s">
        <v>11</v>
      </c>
      <c r="E71" s="2" t="s">
        <v>8</v>
      </c>
      <c r="F71" s="2">
        <v>1.0</v>
      </c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 t="s">
        <v>90</v>
      </c>
      <c r="B72" s="2"/>
      <c r="C72" s="2" t="s">
        <v>54</v>
      </c>
      <c r="D72" s="2" t="s">
        <v>11</v>
      </c>
      <c r="E72" s="2" t="s">
        <v>8</v>
      </c>
      <c r="F72" s="2">
        <v>1.0</v>
      </c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 t="s">
        <v>90</v>
      </c>
      <c r="B73" s="2"/>
      <c r="C73" s="2" t="s">
        <v>92</v>
      </c>
      <c r="D73" s="2" t="s">
        <v>11</v>
      </c>
      <c r="E73" s="2" t="s">
        <v>8</v>
      </c>
      <c r="F73" s="2">
        <v>1.0</v>
      </c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 t="s">
        <v>94</v>
      </c>
      <c r="B74" s="2">
        <v>1.0</v>
      </c>
      <c r="C74" s="2" t="s">
        <v>95</v>
      </c>
      <c r="D74" s="2" t="s">
        <v>11</v>
      </c>
      <c r="E74" s="2" t="s">
        <v>8</v>
      </c>
      <c r="F74" s="2">
        <v>1.0</v>
      </c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 t="s">
        <v>94</v>
      </c>
      <c r="B75" s="2"/>
      <c r="C75" s="2" t="s">
        <v>23</v>
      </c>
      <c r="D75" s="2" t="s">
        <v>11</v>
      </c>
      <c r="E75" s="2" t="s">
        <v>8</v>
      </c>
      <c r="F75" s="2">
        <v>1.0</v>
      </c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 t="s">
        <v>94</v>
      </c>
      <c r="B76" s="2"/>
      <c r="C76" s="2" t="s">
        <v>29</v>
      </c>
      <c r="D76" s="2" t="s">
        <v>11</v>
      </c>
      <c r="E76" s="2" t="s">
        <v>8</v>
      </c>
      <c r="F76" s="2">
        <v>1.0</v>
      </c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 t="s">
        <v>94</v>
      </c>
      <c r="B77" s="2"/>
      <c r="C77" s="2" t="s">
        <v>96</v>
      </c>
      <c r="D77" s="2" t="s">
        <v>11</v>
      </c>
      <c r="E77" s="2" t="s">
        <v>8</v>
      </c>
      <c r="F77" s="2">
        <v>1.0</v>
      </c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 t="s">
        <v>94</v>
      </c>
      <c r="B78" s="2"/>
      <c r="C78" s="2" t="s">
        <v>97</v>
      </c>
      <c r="D78" s="2" t="s">
        <v>11</v>
      </c>
      <c r="E78" s="2" t="s">
        <v>8</v>
      </c>
      <c r="F78" s="2">
        <v>1.0</v>
      </c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 t="s">
        <v>94</v>
      </c>
      <c r="B79" s="2"/>
      <c r="C79" s="2" t="s">
        <v>25</v>
      </c>
      <c r="D79" s="2" t="s">
        <v>11</v>
      </c>
      <c r="E79" s="2" t="s">
        <v>8</v>
      </c>
      <c r="F79" s="2">
        <v>1.0</v>
      </c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 t="s">
        <v>94</v>
      </c>
      <c r="B80" s="2"/>
      <c r="C80" s="2" t="s">
        <v>98</v>
      </c>
      <c r="D80" s="2" t="s">
        <v>11</v>
      </c>
      <c r="E80" s="2" t="s">
        <v>8</v>
      </c>
      <c r="F80" s="2">
        <v>1.0</v>
      </c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 t="s">
        <v>100</v>
      </c>
      <c r="B81" s="2">
        <v>1.0</v>
      </c>
      <c r="C81" s="2"/>
      <c r="D81" s="2" t="s">
        <v>11</v>
      </c>
      <c r="E81" s="2" t="s">
        <v>8</v>
      </c>
      <c r="F81" s="2">
        <v>2.0</v>
      </c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 t="s">
        <v>100</v>
      </c>
      <c r="B82" s="2"/>
      <c r="C82" s="2" t="s">
        <v>821</v>
      </c>
      <c r="D82" s="2" t="s">
        <v>11</v>
      </c>
      <c r="E82" s="2" t="s">
        <v>8</v>
      </c>
      <c r="F82" s="2">
        <v>1.0</v>
      </c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 t="s">
        <v>100</v>
      </c>
      <c r="B83" s="2"/>
      <c r="C83" s="2" t="s">
        <v>102</v>
      </c>
      <c r="D83" s="2" t="s">
        <v>11</v>
      </c>
      <c r="E83" s="2" t="s">
        <v>8</v>
      </c>
      <c r="F83" s="2">
        <v>1.0</v>
      </c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 t="s">
        <v>103</v>
      </c>
      <c r="B84" s="2">
        <v>1.0</v>
      </c>
      <c r="C84" s="2" t="s">
        <v>14</v>
      </c>
      <c r="D84" s="2" t="s">
        <v>11</v>
      </c>
      <c r="E84" s="2" t="s">
        <v>8</v>
      </c>
      <c r="F84" s="2">
        <v>1.0</v>
      </c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 t="s">
        <v>104</v>
      </c>
      <c r="B85" s="2">
        <v>1.0</v>
      </c>
      <c r="C85" s="2"/>
      <c r="D85" s="2" t="s">
        <v>11</v>
      </c>
      <c r="E85" s="2" t="s">
        <v>8</v>
      </c>
      <c r="F85" s="2">
        <v>1.0</v>
      </c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 t="s">
        <v>106</v>
      </c>
      <c r="B86" s="2">
        <v>1.0</v>
      </c>
      <c r="C86" s="2"/>
      <c r="D86" s="2" t="s">
        <v>11</v>
      </c>
      <c r="E86" s="2" t="s">
        <v>8</v>
      </c>
      <c r="F86" s="2">
        <v>1.0</v>
      </c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 t="s">
        <v>108</v>
      </c>
      <c r="B87" s="2">
        <v>1.0</v>
      </c>
      <c r="C87" s="2"/>
      <c r="D87" s="2" t="s">
        <v>11</v>
      </c>
      <c r="E87" s="2" t="s">
        <v>8</v>
      </c>
      <c r="F87" s="2">
        <v>2.0</v>
      </c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 t="s">
        <v>109</v>
      </c>
      <c r="B88" s="2">
        <v>1.0</v>
      </c>
      <c r="C88" s="2" t="s">
        <v>110</v>
      </c>
      <c r="D88" s="2" t="s">
        <v>11</v>
      </c>
      <c r="E88" s="2" t="s">
        <v>8</v>
      </c>
      <c r="F88" s="2">
        <v>1.0</v>
      </c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 t="s">
        <v>111</v>
      </c>
      <c r="B89" s="2">
        <v>1.0</v>
      </c>
      <c r="C89" s="2"/>
      <c r="D89" s="2" t="s">
        <v>11</v>
      </c>
      <c r="E89" s="2" t="s">
        <v>8</v>
      </c>
      <c r="F89" s="2">
        <v>1.0</v>
      </c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 t="s">
        <v>114</v>
      </c>
      <c r="B90" s="2">
        <v>1.0</v>
      </c>
      <c r="C90" s="2" t="s">
        <v>97</v>
      </c>
      <c r="D90" s="2" t="s">
        <v>11</v>
      </c>
      <c r="E90" s="2" t="s">
        <v>8</v>
      </c>
      <c r="F90" s="2">
        <v>1.0</v>
      </c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 t="s">
        <v>114</v>
      </c>
      <c r="B91" s="2"/>
      <c r="C91" s="2" t="s">
        <v>115</v>
      </c>
      <c r="D91" s="2" t="s">
        <v>11</v>
      </c>
      <c r="E91" s="2" t="s">
        <v>8</v>
      </c>
      <c r="F91" s="2">
        <v>1.0</v>
      </c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 t="s">
        <v>114</v>
      </c>
      <c r="B92" s="2"/>
      <c r="C92" s="2" t="s">
        <v>10</v>
      </c>
      <c r="D92" s="2" t="s">
        <v>11</v>
      </c>
      <c r="E92" s="2" t="s">
        <v>8</v>
      </c>
      <c r="F92" s="2">
        <v>1.0</v>
      </c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 t="s">
        <v>114</v>
      </c>
      <c r="B93" s="2"/>
      <c r="C93" s="2" t="s">
        <v>41</v>
      </c>
      <c r="D93" s="2" t="s">
        <v>11</v>
      </c>
      <c r="E93" s="2" t="s">
        <v>8</v>
      </c>
      <c r="F93" s="2">
        <v>1.0</v>
      </c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 t="s">
        <v>116</v>
      </c>
      <c r="B94" s="2">
        <v>1.0</v>
      </c>
      <c r="C94" s="2" t="s">
        <v>117</v>
      </c>
      <c r="D94" s="2" t="s">
        <v>11</v>
      </c>
      <c r="E94" s="2" t="s">
        <v>8</v>
      </c>
      <c r="F94" s="2">
        <v>1.0</v>
      </c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 t="s">
        <v>119</v>
      </c>
      <c r="B95" s="2">
        <v>1.0</v>
      </c>
      <c r="C95" s="2"/>
      <c r="D95" s="2" t="s">
        <v>11</v>
      </c>
      <c r="E95" s="2" t="s">
        <v>8</v>
      </c>
      <c r="F95" s="2">
        <v>1.0</v>
      </c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 t="s">
        <v>120</v>
      </c>
      <c r="B96" s="2">
        <v>1.0</v>
      </c>
      <c r="C96" s="2"/>
      <c r="D96" s="2" t="s">
        <v>11</v>
      </c>
      <c r="E96" s="2" t="s">
        <v>8</v>
      </c>
      <c r="F96" s="2">
        <v>1.0</v>
      </c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 t="s">
        <v>121</v>
      </c>
      <c r="B97" s="2">
        <v>1.0</v>
      </c>
      <c r="C97" s="2"/>
      <c r="D97" s="2" t="s">
        <v>11</v>
      </c>
      <c r="E97" s="2" t="s">
        <v>8</v>
      </c>
      <c r="F97" s="2">
        <v>1.0</v>
      </c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 t="s">
        <v>122</v>
      </c>
      <c r="B98" s="2">
        <v>1.0</v>
      </c>
      <c r="C98" s="2"/>
      <c r="D98" s="2" t="s">
        <v>11</v>
      </c>
      <c r="E98" s="2" t="s">
        <v>8</v>
      </c>
      <c r="F98" s="2">
        <v>2.0</v>
      </c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 t="s">
        <v>123</v>
      </c>
      <c r="B99" s="2">
        <v>1.0</v>
      </c>
      <c r="C99" s="2" t="s">
        <v>822</v>
      </c>
      <c r="D99" s="2" t="s">
        <v>11</v>
      </c>
      <c r="E99" s="2" t="s">
        <v>8</v>
      </c>
      <c r="F99" s="2">
        <v>1.0</v>
      </c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 t="s">
        <v>123</v>
      </c>
      <c r="B100" s="2"/>
      <c r="C100" s="2" t="s">
        <v>54</v>
      </c>
      <c r="D100" s="2" t="s">
        <v>11</v>
      </c>
      <c r="E100" s="2" t="s">
        <v>8</v>
      </c>
      <c r="F100" s="2">
        <v>1.0</v>
      </c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 t="s">
        <v>123</v>
      </c>
      <c r="B101" s="2"/>
      <c r="C101" s="2" t="s">
        <v>125</v>
      </c>
      <c r="D101" s="2" t="s">
        <v>11</v>
      </c>
      <c r="E101" s="2" t="s">
        <v>8</v>
      </c>
      <c r="F101" s="2">
        <v>1.0</v>
      </c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 t="s">
        <v>823</v>
      </c>
      <c r="B102" s="2">
        <v>1.0</v>
      </c>
      <c r="C102" s="2"/>
      <c r="D102" s="2" t="s">
        <v>11</v>
      </c>
      <c r="E102" s="2" t="s">
        <v>8</v>
      </c>
      <c r="F102" s="2">
        <v>1.0</v>
      </c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 t="s">
        <v>824</v>
      </c>
      <c r="B103" s="2"/>
      <c r="C103" s="2" t="s">
        <v>35</v>
      </c>
      <c r="D103" s="2" t="s">
        <v>11</v>
      </c>
      <c r="E103" s="2" t="s">
        <v>8</v>
      </c>
      <c r="F103" s="2">
        <v>1.0</v>
      </c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 t="s">
        <v>128</v>
      </c>
      <c r="B104" s="2">
        <v>1.0</v>
      </c>
      <c r="C104" s="2" t="s">
        <v>41</v>
      </c>
      <c r="D104" s="2" t="s">
        <v>11</v>
      </c>
      <c r="E104" s="2" t="s">
        <v>8</v>
      </c>
      <c r="F104" s="2">
        <v>2.0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 t="s">
        <v>128</v>
      </c>
      <c r="B105" s="2"/>
      <c r="C105" s="2" t="s">
        <v>39</v>
      </c>
      <c r="D105" s="2" t="s">
        <v>11</v>
      </c>
      <c r="E105" s="2" t="s">
        <v>8</v>
      </c>
      <c r="F105" s="2">
        <v>1.0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 t="s">
        <v>129</v>
      </c>
      <c r="B106" s="2">
        <v>1.0</v>
      </c>
      <c r="C106" s="2"/>
      <c r="D106" s="2" t="s">
        <v>11</v>
      </c>
      <c r="E106" s="2" t="s">
        <v>8</v>
      </c>
      <c r="F106" s="2">
        <v>1.0</v>
      </c>
      <c r="G106" s="2">
        <f>SUM(F4:F106)</f>
        <v>112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2">
        <v>361.0</v>
      </c>
      <c r="B107" s="2">
        <v>1.0</v>
      </c>
      <c r="C107" s="2" t="s">
        <v>10</v>
      </c>
      <c r="D107" s="2" t="s">
        <v>11</v>
      </c>
      <c r="E107" s="2" t="s">
        <v>132</v>
      </c>
      <c r="F107" s="2">
        <v>1.0</v>
      </c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2" t="s">
        <v>133</v>
      </c>
      <c r="B108" s="2">
        <v>1.0</v>
      </c>
      <c r="C108" s="2" t="s">
        <v>134</v>
      </c>
      <c r="D108" s="2" t="s">
        <v>11</v>
      </c>
      <c r="E108" s="2" t="s">
        <v>132</v>
      </c>
      <c r="F108" s="2">
        <v>1.0</v>
      </c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 t="s">
        <v>144</v>
      </c>
      <c r="B109" s="2">
        <v>1.0</v>
      </c>
      <c r="C109" s="2" t="s">
        <v>145</v>
      </c>
      <c r="D109" s="2" t="s">
        <v>11</v>
      </c>
      <c r="E109" s="2" t="s">
        <v>132</v>
      </c>
      <c r="F109" s="2">
        <v>1.0</v>
      </c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 t="s">
        <v>144</v>
      </c>
      <c r="B110" s="2"/>
      <c r="C110" s="2" t="s">
        <v>146</v>
      </c>
      <c r="D110" s="2" t="s">
        <v>11</v>
      </c>
      <c r="E110" s="2" t="s">
        <v>132</v>
      </c>
      <c r="F110" s="2">
        <v>1.0</v>
      </c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 t="s">
        <v>144</v>
      </c>
      <c r="B111" s="2"/>
      <c r="C111" s="2" t="s">
        <v>147</v>
      </c>
      <c r="D111" s="2" t="s">
        <v>11</v>
      </c>
      <c r="E111" s="2" t="s">
        <v>132</v>
      </c>
      <c r="F111" s="2">
        <v>1.0</v>
      </c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 t="s">
        <v>144</v>
      </c>
      <c r="B112" s="2"/>
      <c r="C112" s="2" t="s">
        <v>148</v>
      </c>
      <c r="D112" s="2" t="s">
        <v>11</v>
      </c>
      <c r="E112" s="2" t="s">
        <v>132</v>
      </c>
      <c r="F112" s="2">
        <v>1.0</v>
      </c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 t="s">
        <v>144</v>
      </c>
      <c r="B113" s="2"/>
      <c r="C113" s="2" t="s">
        <v>149</v>
      </c>
      <c r="D113" s="2" t="s">
        <v>11</v>
      </c>
      <c r="E113" s="2" t="s">
        <v>132</v>
      </c>
      <c r="F113" s="2">
        <v>1.0</v>
      </c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 t="s">
        <v>144</v>
      </c>
      <c r="B114" s="2"/>
      <c r="C114" s="2" t="s">
        <v>92</v>
      </c>
      <c r="D114" s="2" t="s">
        <v>11</v>
      </c>
      <c r="E114" s="2" t="s">
        <v>132</v>
      </c>
      <c r="F114" s="2">
        <v>1.0</v>
      </c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 t="s">
        <v>135</v>
      </c>
      <c r="B115" s="2">
        <v>1.0</v>
      </c>
      <c r="C115" s="2"/>
      <c r="D115" s="2" t="s">
        <v>11</v>
      </c>
      <c r="E115" s="2" t="s">
        <v>132</v>
      </c>
      <c r="F115" s="2">
        <v>2.0</v>
      </c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 t="s">
        <v>135</v>
      </c>
      <c r="B116" s="2"/>
      <c r="C116" s="2" t="s">
        <v>136</v>
      </c>
      <c r="D116" s="2" t="s">
        <v>11</v>
      </c>
      <c r="E116" s="2" t="s">
        <v>132</v>
      </c>
      <c r="F116" s="2">
        <v>2.0</v>
      </c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 t="s">
        <v>135</v>
      </c>
      <c r="B117" s="2"/>
      <c r="C117" s="2" t="s">
        <v>137</v>
      </c>
      <c r="D117" s="2" t="s">
        <v>11</v>
      </c>
      <c r="E117" s="2" t="s">
        <v>132</v>
      </c>
      <c r="F117" s="2">
        <v>1.0</v>
      </c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 t="s">
        <v>135</v>
      </c>
      <c r="B118" s="2"/>
      <c r="C118" s="2" t="s">
        <v>138</v>
      </c>
      <c r="D118" s="2" t="s">
        <v>11</v>
      </c>
      <c r="E118" s="2" t="s">
        <v>132</v>
      </c>
      <c r="F118" s="2">
        <v>1.0</v>
      </c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 t="s">
        <v>135</v>
      </c>
      <c r="B119" s="2"/>
      <c r="C119" s="2" t="s">
        <v>825</v>
      </c>
      <c r="D119" s="2" t="s">
        <v>11</v>
      </c>
      <c r="E119" s="2" t="s">
        <v>132</v>
      </c>
      <c r="F119" s="2">
        <v>1.0</v>
      </c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 t="s">
        <v>135</v>
      </c>
      <c r="B120" s="2"/>
      <c r="C120" s="2" t="s">
        <v>140</v>
      </c>
      <c r="D120" s="2" t="s">
        <v>11</v>
      </c>
      <c r="E120" s="2" t="s">
        <v>132</v>
      </c>
      <c r="F120" s="2">
        <v>1.0</v>
      </c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 t="s">
        <v>135</v>
      </c>
      <c r="B121" s="2"/>
      <c r="C121" s="2" t="s">
        <v>141</v>
      </c>
      <c r="D121" s="2" t="s">
        <v>11</v>
      </c>
      <c r="E121" s="2" t="s">
        <v>132</v>
      </c>
      <c r="F121" s="2">
        <v>1.0</v>
      </c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 t="s">
        <v>135</v>
      </c>
      <c r="B122" s="2"/>
      <c r="C122" s="2" t="s">
        <v>142</v>
      </c>
      <c r="D122" s="2" t="s">
        <v>11</v>
      </c>
      <c r="E122" s="2" t="s">
        <v>132</v>
      </c>
      <c r="F122" s="2">
        <v>1.0</v>
      </c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 t="s">
        <v>135</v>
      </c>
      <c r="B123" s="2"/>
      <c r="C123" s="2" t="s">
        <v>143</v>
      </c>
      <c r="D123" s="2" t="s">
        <v>11</v>
      </c>
      <c r="E123" s="2" t="s">
        <v>132</v>
      </c>
      <c r="F123" s="2">
        <v>1.0</v>
      </c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 t="s">
        <v>150</v>
      </c>
      <c r="B124" s="2">
        <v>1.0</v>
      </c>
      <c r="C124" s="2" t="s">
        <v>151</v>
      </c>
      <c r="D124" s="2" t="s">
        <v>11</v>
      </c>
      <c r="E124" s="2" t="s">
        <v>132</v>
      </c>
      <c r="F124" s="2">
        <v>1.0</v>
      </c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 t="s">
        <v>152</v>
      </c>
      <c r="B125" s="2">
        <v>1.0</v>
      </c>
      <c r="C125" s="2" t="s">
        <v>153</v>
      </c>
      <c r="D125" s="2" t="s">
        <v>11</v>
      </c>
      <c r="E125" s="2" t="s">
        <v>132</v>
      </c>
      <c r="F125" s="2">
        <v>1.0</v>
      </c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 t="s">
        <v>152</v>
      </c>
      <c r="B126" s="2"/>
      <c r="C126" s="2" t="s">
        <v>154</v>
      </c>
      <c r="D126" s="2" t="s">
        <v>11</v>
      </c>
      <c r="E126" s="2" t="s">
        <v>132</v>
      </c>
      <c r="F126" s="2">
        <v>1.0</v>
      </c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 t="s">
        <v>152</v>
      </c>
      <c r="B127" s="2"/>
      <c r="C127" s="2" t="s">
        <v>155</v>
      </c>
      <c r="D127" s="2" t="s">
        <v>11</v>
      </c>
      <c r="E127" s="2" t="s">
        <v>132</v>
      </c>
      <c r="F127" s="2">
        <v>1.0</v>
      </c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 t="s">
        <v>152</v>
      </c>
      <c r="B128" s="2"/>
      <c r="C128" s="2" t="s">
        <v>156</v>
      </c>
      <c r="D128" s="2" t="s">
        <v>11</v>
      </c>
      <c r="E128" s="2" t="s">
        <v>132</v>
      </c>
      <c r="F128" s="2">
        <v>1.0</v>
      </c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 t="s">
        <v>157</v>
      </c>
      <c r="B129" s="2">
        <v>1.0</v>
      </c>
      <c r="C129" s="2" t="s">
        <v>158</v>
      </c>
      <c r="D129" s="2" t="s">
        <v>11</v>
      </c>
      <c r="E129" s="2" t="s">
        <v>132</v>
      </c>
      <c r="F129" s="2">
        <v>1.0</v>
      </c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 t="s">
        <v>157</v>
      </c>
      <c r="B130" s="2"/>
      <c r="C130" s="2" t="s">
        <v>159</v>
      </c>
      <c r="D130" s="2" t="s">
        <v>11</v>
      </c>
      <c r="E130" s="2" t="s">
        <v>132</v>
      </c>
      <c r="F130" s="2">
        <v>1.0</v>
      </c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2" t="s">
        <v>160</v>
      </c>
      <c r="B131" s="2">
        <v>1.0</v>
      </c>
      <c r="C131" s="2" t="s">
        <v>161</v>
      </c>
      <c r="D131" s="2" t="s">
        <v>11</v>
      </c>
      <c r="E131" s="2" t="s">
        <v>132</v>
      </c>
      <c r="F131" s="2">
        <v>1.0</v>
      </c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2" t="s">
        <v>160</v>
      </c>
      <c r="B132" s="2"/>
      <c r="C132" s="2" t="s">
        <v>162</v>
      </c>
      <c r="D132" s="2" t="s">
        <v>11</v>
      </c>
      <c r="E132" s="2" t="s">
        <v>132</v>
      </c>
      <c r="F132" s="2">
        <v>1.0</v>
      </c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 t="s">
        <v>163</v>
      </c>
      <c r="B133" s="2">
        <v>1.0</v>
      </c>
      <c r="C133" s="2" t="s">
        <v>147</v>
      </c>
      <c r="D133" s="2" t="s">
        <v>11</v>
      </c>
      <c r="E133" s="2" t="s">
        <v>132</v>
      </c>
      <c r="F133" s="2">
        <v>1.0</v>
      </c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 t="s">
        <v>163</v>
      </c>
      <c r="B134" s="2"/>
      <c r="C134" s="2" t="s">
        <v>164</v>
      </c>
      <c r="D134" s="2" t="s">
        <v>11</v>
      </c>
      <c r="E134" s="2" t="s">
        <v>132</v>
      </c>
      <c r="F134" s="2">
        <v>1.0</v>
      </c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 t="s">
        <v>165</v>
      </c>
      <c r="B135" s="2">
        <v>1.0</v>
      </c>
      <c r="C135" s="2" t="s">
        <v>83</v>
      </c>
      <c r="D135" s="2" t="s">
        <v>11</v>
      </c>
      <c r="E135" s="2" t="s">
        <v>132</v>
      </c>
      <c r="F135" s="2">
        <v>1.0</v>
      </c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 t="s">
        <v>165</v>
      </c>
      <c r="B136" s="2"/>
      <c r="C136" s="2" t="s">
        <v>147</v>
      </c>
      <c r="D136" s="2" t="s">
        <v>11</v>
      </c>
      <c r="E136" s="2" t="s">
        <v>132</v>
      </c>
      <c r="F136" s="2">
        <v>1.0</v>
      </c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 t="s">
        <v>166</v>
      </c>
      <c r="B137" s="2">
        <v>1.0</v>
      </c>
      <c r="C137" s="2" t="s">
        <v>156</v>
      </c>
      <c r="D137" s="2" t="s">
        <v>11</v>
      </c>
      <c r="E137" s="2" t="s">
        <v>132</v>
      </c>
      <c r="F137" s="2">
        <v>1.0</v>
      </c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 t="s">
        <v>166</v>
      </c>
      <c r="B138" s="2"/>
      <c r="C138" s="2" t="s">
        <v>167</v>
      </c>
      <c r="D138" s="2" t="s">
        <v>11</v>
      </c>
      <c r="E138" s="2" t="s">
        <v>132</v>
      </c>
      <c r="F138" s="2">
        <v>1.0</v>
      </c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 t="s">
        <v>168</v>
      </c>
      <c r="B139" s="2">
        <v>1.0</v>
      </c>
      <c r="C139" s="2"/>
      <c r="D139" s="2" t="s">
        <v>11</v>
      </c>
      <c r="E139" s="2" t="s">
        <v>132</v>
      </c>
      <c r="F139" s="2">
        <v>2.0</v>
      </c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 t="s">
        <v>171</v>
      </c>
      <c r="B140" s="2">
        <v>1.0</v>
      </c>
      <c r="C140" s="2" t="s">
        <v>172</v>
      </c>
      <c r="D140" s="2" t="s">
        <v>11</v>
      </c>
      <c r="E140" s="2" t="s">
        <v>132</v>
      </c>
      <c r="F140" s="2">
        <v>1.0</v>
      </c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 t="s">
        <v>173</v>
      </c>
      <c r="B141" s="2">
        <v>1.0</v>
      </c>
      <c r="C141" s="2" t="s">
        <v>174</v>
      </c>
      <c r="D141" s="2" t="s">
        <v>11</v>
      </c>
      <c r="E141" s="2" t="s">
        <v>132</v>
      </c>
      <c r="F141" s="2">
        <v>1.0</v>
      </c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 t="s">
        <v>175</v>
      </c>
      <c r="B142" s="2">
        <v>1.0</v>
      </c>
      <c r="C142" s="2" t="s">
        <v>176</v>
      </c>
      <c r="D142" s="2" t="s">
        <v>11</v>
      </c>
      <c r="E142" s="2" t="s">
        <v>132</v>
      </c>
      <c r="F142" s="2">
        <v>1.0</v>
      </c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 t="s">
        <v>177</v>
      </c>
      <c r="B143" s="2">
        <v>1.0</v>
      </c>
      <c r="C143" s="2" t="s">
        <v>164</v>
      </c>
      <c r="D143" s="2" t="s">
        <v>11</v>
      </c>
      <c r="E143" s="2" t="s">
        <v>132</v>
      </c>
      <c r="F143" s="2">
        <v>1.0</v>
      </c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 t="s">
        <v>177</v>
      </c>
      <c r="B144" s="2"/>
      <c r="C144" s="2" t="s">
        <v>178</v>
      </c>
      <c r="D144" s="2" t="s">
        <v>11</v>
      </c>
      <c r="E144" s="2" t="s">
        <v>132</v>
      </c>
      <c r="F144" s="2">
        <v>1.0</v>
      </c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 t="s">
        <v>180</v>
      </c>
      <c r="B145" s="2">
        <v>1.0</v>
      </c>
      <c r="C145" s="2"/>
      <c r="D145" s="2" t="s">
        <v>11</v>
      </c>
      <c r="E145" s="2" t="s">
        <v>132</v>
      </c>
      <c r="F145" s="2">
        <v>2.0</v>
      </c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 t="s">
        <v>180</v>
      </c>
      <c r="B146" s="2"/>
      <c r="C146" s="2" t="s">
        <v>181</v>
      </c>
      <c r="D146" s="2" t="s">
        <v>11</v>
      </c>
      <c r="E146" s="2" t="s">
        <v>132</v>
      </c>
      <c r="F146" s="2">
        <v>1.0</v>
      </c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 t="s">
        <v>180</v>
      </c>
      <c r="B147" s="2"/>
      <c r="C147" s="2" t="s">
        <v>182</v>
      </c>
      <c r="D147" s="2" t="s">
        <v>11</v>
      </c>
      <c r="E147" s="2" t="s">
        <v>132</v>
      </c>
      <c r="F147" s="2">
        <v>1.0</v>
      </c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 t="s">
        <v>180</v>
      </c>
      <c r="B148" s="2"/>
      <c r="C148" s="2" t="s">
        <v>183</v>
      </c>
      <c r="D148" s="2" t="s">
        <v>11</v>
      </c>
      <c r="E148" s="2" t="s">
        <v>132</v>
      </c>
      <c r="F148" s="2">
        <v>1.0</v>
      </c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 t="s">
        <v>180</v>
      </c>
      <c r="B149" s="2"/>
      <c r="C149" s="2" t="s">
        <v>184</v>
      </c>
      <c r="D149" s="2" t="s">
        <v>11</v>
      </c>
      <c r="E149" s="2" t="s">
        <v>132</v>
      </c>
      <c r="F149" s="2">
        <v>1.0</v>
      </c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 t="s">
        <v>180</v>
      </c>
      <c r="B150" s="2"/>
      <c r="C150" s="2" t="s">
        <v>185</v>
      </c>
      <c r="D150" s="2" t="s">
        <v>11</v>
      </c>
      <c r="E150" s="2" t="s">
        <v>132</v>
      </c>
      <c r="F150" s="2">
        <v>1.0</v>
      </c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 t="s">
        <v>186</v>
      </c>
      <c r="B151" s="2">
        <v>1.0</v>
      </c>
      <c r="C151" s="2"/>
      <c r="D151" s="2" t="s">
        <v>11</v>
      </c>
      <c r="E151" s="2" t="s">
        <v>132</v>
      </c>
      <c r="F151" s="2">
        <v>1.0</v>
      </c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 t="s">
        <v>187</v>
      </c>
      <c r="B152" s="2">
        <v>1.0</v>
      </c>
      <c r="C152" s="2" t="s">
        <v>188</v>
      </c>
      <c r="D152" s="2" t="s">
        <v>11</v>
      </c>
      <c r="E152" s="2" t="s">
        <v>132</v>
      </c>
      <c r="F152" s="2">
        <v>1.0</v>
      </c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 t="s">
        <v>189</v>
      </c>
      <c r="B153" s="2">
        <v>1.0</v>
      </c>
      <c r="C153" s="2" t="s">
        <v>190</v>
      </c>
      <c r="D153" s="2" t="s">
        <v>11</v>
      </c>
      <c r="E153" s="2" t="s">
        <v>132</v>
      </c>
      <c r="F153" s="2">
        <v>1.0</v>
      </c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 t="s">
        <v>191</v>
      </c>
      <c r="B154" s="2">
        <v>1.0</v>
      </c>
      <c r="C154" s="2" t="s">
        <v>192</v>
      </c>
      <c r="D154" s="2" t="s">
        <v>11</v>
      </c>
      <c r="E154" s="2" t="s">
        <v>132</v>
      </c>
      <c r="F154" s="2">
        <v>1.0</v>
      </c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 t="s">
        <v>191</v>
      </c>
      <c r="B155" s="2"/>
      <c r="C155" s="2" t="s">
        <v>193</v>
      </c>
      <c r="D155" s="2" t="s">
        <v>11</v>
      </c>
      <c r="E155" s="2" t="s">
        <v>132</v>
      </c>
      <c r="F155" s="2">
        <v>1.0</v>
      </c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 t="s">
        <v>191</v>
      </c>
      <c r="B156" s="2"/>
      <c r="C156" s="2" t="s">
        <v>194</v>
      </c>
      <c r="D156" s="2" t="s">
        <v>11</v>
      </c>
      <c r="E156" s="2" t="s">
        <v>132</v>
      </c>
      <c r="F156" s="2">
        <v>1.0</v>
      </c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 t="s">
        <v>196</v>
      </c>
      <c r="B157" s="2">
        <v>1.0</v>
      </c>
      <c r="C157" s="2"/>
      <c r="D157" s="2" t="s">
        <v>11</v>
      </c>
      <c r="E157" s="2" t="s">
        <v>132</v>
      </c>
      <c r="F157" s="2">
        <v>1.0</v>
      </c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 t="s">
        <v>196</v>
      </c>
      <c r="B158" s="2"/>
      <c r="C158" s="2" t="s">
        <v>197</v>
      </c>
      <c r="D158" s="2" t="s">
        <v>11</v>
      </c>
      <c r="E158" s="2" t="s">
        <v>132</v>
      </c>
      <c r="F158" s="2">
        <v>1.0</v>
      </c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 t="s">
        <v>198</v>
      </c>
      <c r="B159" s="2">
        <v>1.0</v>
      </c>
      <c r="C159" s="2" t="s">
        <v>199</v>
      </c>
      <c r="D159" s="2" t="s">
        <v>11</v>
      </c>
      <c r="E159" s="2" t="s">
        <v>132</v>
      </c>
      <c r="F159" s="2">
        <v>1.0</v>
      </c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 t="s">
        <v>200</v>
      </c>
      <c r="B160" s="2"/>
      <c r="C160" s="2" t="s">
        <v>136</v>
      </c>
      <c r="D160" s="2" t="s">
        <v>11</v>
      </c>
      <c r="E160" s="2" t="s">
        <v>132</v>
      </c>
      <c r="F160" s="2">
        <v>1.0</v>
      </c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 t="s">
        <v>201</v>
      </c>
      <c r="B161" s="2">
        <v>1.0</v>
      </c>
      <c r="C161" s="2" t="s">
        <v>164</v>
      </c>
      <c r="D161" s="2" t="s">
        <v>11</v>
      </c>
      <c r="E161" s="2" t="s">
        <v>132</v>
      </c>
      <c r="F161" s="2">
        <v>1.0</v>
      </c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 t="s">
        <v>201</v>
      </c>
      <c r="B162" s="2"/>
      <c r="C162" s="2" t="s">
        <v>197</v>
      </c>
      <c r="D162" s="2" t="s">
        <v>11</v>
      </c>
      <c r="E162" s="2" t="s">
        <v>132</v>
      </c>
      <c r="F162" s="2">
        <v>1.0</v>
      </c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 t="s">
        <v>202</v>
      </c>
      <c r="B163" s="2">
        <v>1.0</v>
      </c>
      <c r="C163" s="2" t="s">
        <v>203</v>
      </c>
      <c r="D163" s="2" t="s">
        <v>11</v>
      </c>
      <c r="E163" s="2" t="s">
        <v>132</v>
      </c>
      <c r="F163" s="2">
        <v>1.0</v>
      </c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 t="s">
        <v>202</v>
      </c>
      <c r="B164" s="2"/>
      <c r="C164" s="2" t="s">
        <v>134</v>
      </c>
      <c r="D164" s="2" t="s">
        <v>11</v>
      </c>
      <c r="E164" s="2" t="s">
        <v>132</v>
      </c>
      <c r="F164" s="2">
        <v>1.0</v>
      </c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 t="s">
        <v>202</v>
      </c>
      <c r="B165" s="2"/>
      <c r="C165" s="2" t="s">
        <v>204</v>
      </c>
      <c r="D165" s="2" t="s">
        <v>11</v>
      </c>
      <c r="E165" s="2" t="s">
        <v>132</v>
      </c>
      <c r="F165" s="2">
        <v>1.0</v>
      </c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 t="s">
        <v>202</v>
      </c>
      <c r="B166" s="2"/>
      <c r="C166" s="2" t="s">
        <v>153</v>
      </c>
      <c r="D166" s="2" t="s">
        <v>11</v>
      </c>
      <c r="E166" s="2" t="s">
        <v>132</v>
      </c>
      <c r="F166" s="2">
        <v>1.0</v>
      </c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 t="s">
        <v>202</v>
      </c>
      <c r="B167" s="2"/>
      <c r="C167" s="2" t="s">
        <v>205</v>
      </c>
      <c r="D167" s="2" t="s">
        <v>11</v>
      </c>
      <c r="E167" s="2" t="s">
        <v>132</v>
      </c>
      <c r="F167" s="2">
        <v>1.0</v>
      </c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 t="s">
        <v>207</v>
      </c>
      <c r="B168" s="2"/>
      <c r="C168" s="2"/>
      <c r="D168" s="2" t="s">
        <v>11</v>
      </c>
      <c r="E168" s="2" t="s">
        <v>132</v>
      </c>
      <c r="F168" s="2">
        <v>1.0</v>
      </c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 t="s">
        <v>208</v>
      </c>
      <c r="B169" s="2">
        <v>1.0</v>
      </c>
      <c r="C169" s="2" t="s">
        <v>192</v>
      </c>
      <c r="D169" s="2" t="s">
        <v>11</v>
      </c>
      <c r="E169" s="2" t="s">
        <v>132</v>
      </c>
      <c r="F169" s="2">
        <v>1.0</v>
      </c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 t="s">
        <v>208</v>
      </c>
      <c r="B170" s="2"/>
      <c r="C170" s="2" t="s">
        <v>209</v>
      </c>
      <c r="D170" s="2" t="s">
        <v>11</v>
      </c>
      <c r="E170" s="2" t="s">
        <v>132</v>
      </c>
      <c r="F170" s="2">
        <v>1.0</v>
      </c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 t="s">
        <v>208</v>
      </c>
      <c r="B171" s="2"/>
      <c r="C171" s="2" t="s">
        <v>92</v>
      </c>
      <c r="D171" s="2" t="s">
        <v>11</v>
      </c>
      <c r="E171" s="2" t="s">
        <v>132</v>
      </c>
      <c r="F171" s="2">
        <v>1.0</v>
      </c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 t="s">
        <v>208</v>
      </c>
      <c r="B172" s="2"/>
      <c r="C172" s="2" t="s">
        <v>164</v>
      </c>
      <c r="D172" s="2" t="s">
        <v>11</v>
      </c>
      <c r="E172" s="2" t="s">
        <v>132</v>
      </c>
      <c r="F172" s="2">
        <v>1.0</v>
      </c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 t="s">
        <v>208</v>
      </c>
      <c r="B173" s="2"/>
      <c r="C173" s="2" t="s">
        <v>181</v>
      </c>
      <c r="D173" s="2" t="s">
        <v>11</v>
      </c>
      <c r="E173" s="2" t="s">
        <v>132</v>
      </c>
      <c r="F173" s="2">
        <v>1.0</v>
      </c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 t="s">
        <v>210</v>
      </c>
      <c r="B174" s="2">
        <v>1.0</v>
      </c>
      <c r="C174" s="2" t="s">
        <v>211</v>
      </c>
      <c r="D174" s="2" t="s">
        <v>11</v>
      </c>
      <c r="E174" s="2" t="s">
        <v>132</v>
      </c>
      <c r="F174" s="2">
        <v>1.0</v>
      </c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 t="s">
        <v>210</v>
      </c>
      <c r="B175" s="2"/>
      <c r="C175" s="2" t="s">
        <v>164</v>
      </c>
      <c r="D175" s="2" t="s">
        <v>11</v>
      </c>
      <c r="E175" s="2" t="s">
        <v>132</v>
      </c>
      <c r="F175" s="2">
        <v>1.0</v>
      </c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 t="s">
        <v>212</v>
      </c>
      <c r="B176" s="2">
        <v>1.0</v>
      </c>
      <c r="C176" s="2" t="s">
        <v>213</v>
      </c>
      <c r="D176" s="2" t="s">
        <v>11</v>
      </c>
      <c r="E176" s="2" t="s">
        <v>132</v>
      </c>
      <c r="F176" s="2">
        <v>1.0</v>
      </c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 t="s">
        <v>212</v>
      </c>
      <c r="B177" s="2"/>
      <c r="C177" s="2" t="s">
        <v>183</v>
      </c>
      <c r="D177" s="2" t="s">
        <v>11</v>
      </c>
      <c r="E177" s="2" t="s">
        <v>132</v>
      </c>
      <c r="F177" s="2">
        <v>1.0</v>
      </c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 t="s">
        <v>212</v>
      </c>
      <c r="B178" s="2"/>
      <c r="C178" s="2" t="s">
        <v>214</v>
      </c>
      <c r="D178" s="2" t="s">
        <v>11</v>
      </c>
      <c r="E178" s="2" t="s">
        <v>132</v>
      </c>
      <c r="F178" s="2">
        <v>1.0</v>
      </c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 t="s">
        <v>212</v>
      </c>
      <c r="B179" s="2"/>
      <c r="C179" s="2" t="s">
        <v>215</v>
      </c>
      <c r="D179" s="2" t="s">
        <v>11</v>
      </c>
      <c r="E179" s="2" t="s">
        <v>132</v>
      </c>
      <c r="F179" s="2">
        <v>1.0</v>
      </c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 t="s">
        <v>212</v>
      </c>
      <c r="B180" s="2"/>
      <c r="C180" s="2" t="s">
        <v>92</v>
      </c>
      <c r="D180" s="2" t="s">
        <v>11</v>
      </c>
      <c r="E180" s="2" t="s">
        <v>132</v>
      </c>
      <c r="F180" s="2">
        <v>1.0</v>
      </c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 t="s">
        <v>212</v>
      </c>
      <c r="B181" s="2"/>
      <c r="C181" s="2" t="s">
        <v>216</v>
      </c>
      <c r="D181" s="2" t="s">
        <v>11</v>
      </c>
      <c r="E181" s="2" t="s">
        <v>132</v>
      </c>
      <c r="F181" s="2">
        <v>1.0</v>
      </c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 t="s">
        <v>212</v>
      </c>
      <c r="B182" s="2"/>
      <c r="C182" s="2" t="s">
        <v>217</v>
      </c>
      <c r="D182" s="2" t="s">
        <v>11</v>
      </c>
      <c r="E182" s="2" t="s">
        <v>132</v>
      </c>
      <c r="F182" s="2">
        <v>1.0</v>
      </c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 t="s">
        <v>212</v>
      </c>
      <c r="B183" s="2"/>
      <c r="C183" s="2" t="s">
        <v>826</v>
      </c>
      <c r="D183" s="2" t="s">
        <v>11</v>
      </c>
      <c r="E183" s="2" t="s">
        <v>132</v>
      </c>
      <c r="F183" s="2">
        <v>1.0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 t="s">
        <v>212</v>
      </c>
      <c r="B184" s="2"/>
      <c r="C184" s="2" t="s">
        <v>219</v>
      </c>
      <c r="D184" s="2" t="s">
        <v>11</v>
      </c>
      <c r="E184" s="2" t="s">
        <v>132</v>
      </c>
      <c r="F184" s="2">
        <v>1.0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 t="s">
        <v>212</v>
      </c>
      <c r="B185" s="2"/>
      <c r="C185" s="2" t="s">
        <v>220</v>
      </c>
      <c r="D185" s="2" t="s">
        <v>11</v>
      </c>
      <c r="E185" s="2" t="s">
        <v>132</v>
      </c>
      <c r="F185" s="2">
        <v>1.0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 t="s">
        <v>212</v>
      </c>
      <c r="B186" s="2"/>
      <c r="C186" s="2" t="s">
        <v>222</v>
      </c>
      <c r="D186" s="2" t="s">
        <v>11</v>
      </c>
      <c r="E186" s="2" t="s">
        <v>132</v>
      </c>
      <c r="F186" s="2">
        <v>1.0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 t="s">
        <v>212</v>
      </c>
      <c r="B187" s="2"/>
      <c r="C187" s="2" t="s">
        <v>223</v>
      </c>
      <c r="D187" s="2" t="s">
        <v>11</v>
      </c>
      <c r="E187" s="2" t="s">
        <v>132</v>
      </c>
      <c r="F187" s="2">
        <v>1.0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 t="s">
        <v>212</v>
      </c>
      <c r="B188" s="2"/>
      <c r="C188" s="2" t="s">
        <v>224</v>
      </c>
      <c r="D188" s="2" t="s">
        <v>11</v>
      </c>
      <c r="E188" s="2" t="s">
        <v>132</v>
      </c>
      <c r="F188" s="2">
        <v>1.0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 t="s">
        <v>212</v>
      </c>
      <c r="B189" s="2"/>
      <c r="C189" s="2" t="s">
        <v>225</v>
      </c>
      <c r="D189" s="2" t="s">
        <v>11</v>
      </c>
      <c r="E189" s="2" t="s">
        <v>132</v>
      </c>
      <c r="F189" s="2">
        <v>1.0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 t="s">
        <v>212</v>
      </c>
      <c r="B190" s="2"/>
      <c r="C190" s="2" t="s">
        <v>226</v>
      </c>
      <c r="D190" s="2" t="s">
        <v>11</v>
      </c>
      <c r="E190" s="2" t="s">
        <v>132</v>
      </c>
      <c r="F190" s="2">
        <v>1.0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 t="s">
        <v>227</v>
      </c>
      <c r="B191" s="2">
        <v>1.0</v>
      </c>
      <c r="C191" s="2" t="s">
        <v>228</v>
      </c>
      <c r="D191" s="2" t="s">
        <v>11</v>
      </c>
      <c r="E191" s="2" t="s">
        <v>132</v>
      </c>
      <c r="F191" s="2">
        <v>1.0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 t="s">
        <v>227</v>
      </c>
      <c r="B192" s="2"/>
      <c r="C192" s="2" t="s">
        <v>229</v>
      </c>
      <c r="D192" s="2" t="s">
        <v>11</v>
      </c>
      <c r="E192" s="2" t="s">
        <v>132</v>
      </c>
      <c r="F192" s="2">
        <v>1.0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 t="s">
        <v>227</v>
      </c>
      <c r="B193" s="2"/>
      <c r="C193" s="2" t="s">
        <v>230</v>
      </c>
      <c r="D193" s="2" t="s">
        <v>11</v>
      </c>
      <c r="E193" s="2" t="s">
        <v>132</v>
      </c>
      <c r="F193" s="2">
        <v>1.0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 t="s">
        <v>227</v>
      </c>
      <c r="B194" s="2"/>
      <c r="C194" s="2" t="s">
        <v>231</v>
      </c>
      <c r="D194" s="2" t="s">
        <v>11</v>
      </c>
      <c r="E194" s="2" t="s">
        <v>132</v>
      </c>
      <c r="F194" s="2">
        <v>1.0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 t="s">
        <v>227</v>
      </c>
      <c r="B195" s="2"/>
      <c r="C195" s="2" t="s">
        <v>47</v>
      </c>
      <c r="D195" s="2" t="s">
        <v>11</v>
      </c>
      <c r="E195" s="2" t="s">
        <v>132</v>
      </c>
      <c r="F195" s="2">
        <v>1.0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 t="s">
        <v>227</v>
      </c>
      <c r="B196" s="2"/>
      <c r="C196" s="2" t="s">
        <v>232</v>
      </c>
      <c r="D196" s="2" t="s">
        <v>11</v>
      </c>
      <c r="E196" s="2" t="s">
        <v>132</v>
      </c>
      <c r="F196" s="2">
        <v>1.0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 t="s">
        <v>227</v>
      </c>
      <c r="B197" s="2"/>
      <c r="C197" s="2" t="s">
        <v>233</v>
      </c>
      <c r="D197" s="2" t="s">
        <v>11</v>
      </c>
      <c r="E197" s="2" t="s">
        <v>132</v>
      </c>
      <c r="F197" s="2">
        <v>1.0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 t="s">
        <v>227</v>
      </c>
      <c r="B198" s="2"/>
      <c r="C198" s="2" t="s">
        <v>234</v>
      </c>
      <c r="D198" s="2" t="s">
        <v>11</v>
      </c>
      <c r="E198" s="2" t="s">
        <v>132</v>
      </c>
      <c r="F198" s="2">
        <v>1.0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 t="s">
        <v>227</v>
      </c>
      <c r="B199" s="2"/>
      <c r="C199" s="2" t="s">
        <v>827</v>
      </c>
      <c r="D199" s="2" t="s">
        <v>11</v>
      </c>
      <c r="E199" s="2" t="s">
        <v>132</v>
      </c>
      <c r="F199" s="2">
        <v>1.0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 t="s">
        <v>227</v>
      </c>
      <c r="B200" s="2"/>
      <c r="C200" s="2" t="s">
        <v>236</v>
      </c>
      <c r="D200" s="2" t="s">
        <v>11</v>
      </c>
      <c r="E200" s="2" t="s">
        <v>132</v>
      </c>
      <c r="F200" s="2">
        <v>1.0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 t="s">
        <v>227</v>
      </c>
      <c r="B201" s="2"/>
      <c r="C201" s="2" t="s">
        <v>237</v>
      </c>
      <c r="D201" s="2" t="s">
        <v>11</v>
      </c>
      <c r="E201" s="2" t="s">
        <v>132</v>
      </c>
      <c r="F201" s="2">
        <v>1.0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 t="s">
        <v>238</v>
      </c>
      <c r="B202" s="2"/>
      <c r="C202" s="2" t="s">
        <v>239</v>
      </c>
      <c r="D202" s="2" t="s">
        <v>11</v>
      </c>
      <c r="E202" s="2" t="s">
        <v>132</v>
      </c>
      <c r="F202" s="2">
        <v>1.0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 t="s">
        <v>227</v>
      </c>
      <c r="B203" s="2"/>
      <c r="C203" s="2" t="s">
        <v>240</v>
      </c>
      <c r="D203" s="2" t="s">
        <v>11</v>
      </c>
      <c r="E203" s="2" t="s">
        <v>132</v>
      </c>
      <c r="F203" s="2">
        <v>1.0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 t="s">
        <v>227</v>
      </c>
      <c r="B204" s="2"/>
      <c r="C204" s="2" t="s">
        <v>183</v>
      </c>
      <c r="D204" s="2" t="s">
        <v>11</v>
      </c>
      <c r="E204" s="2" t="s">
        <v>132</v>
      </c>
      <c r="F204" s="2">
        <v>1.0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 t="s">
        <v>241</v>
      </c>
      <c r="B205" s="2">
        <v>1.0</v>
      </c>
      <c r="C205" s="2" t="s">
        <v>17</v>
      </c>
      <c r="D205" s="2" t="s">
        <v>11</v>
      </c>
      <c r="E205" s="2" t="s">
        <v>132</v>
      </c>
      <c r="F205" s="2">
        <v>1.0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 t="s">
        <v>242</v>
      </c>
      <c r="B206" s="2">
        <v>1.0</v>
      </c>
      <c r="C206" s="2"/>
      <c r="D206" s="2" t="s">
        <v>11</v>
      </c>
      <c r="E206" s="2" t="s">
        <v>132</v>
      </c>
      <c r="F206" s="2">
        <v>3.0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 t="s">
        <v>242</v>
      </c>
      <c r="B207" s="2"/>
      <c r="C207" s="2">
        <v>1890.0</v>
      </c>
      <c r="D207" s="2" t="s">
        <v>11</v>
      </c>
      <c r="E207" s="2" t="s">
        <v>132</v>
      </c>
      <c r="F207" s="2">
        <v>1.0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 t="s">
        <v>242</v>
      </c>
      <c r="B208" s="2"/>
      <c r="C208" s="2" t="s">
        <v>17</v>
      </c>
      <c r="D208" s="2" t="s">
        <v>11</v>
      </c>
      <c r="E208" s="2" t="s">
        <v>132</v>
      </c>
      <c r="F208" s="2">
        <v>2.0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 t="s">
        <v>242</v>
      </c>
      <c r="B209" s="2"/>
      <c r="C209" s="2" t="s">
        <v>246</v>
      </c>
      <c r="D209" s="2" t="s">
        <v>11</v>
      </c>
      <c r="E209" s="2" t="s">
        <v>132</v>
      </c>
      <c r="F209" s="2">
        <v>1.0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 t="s">
        <v>242</v>
      </c>
      <c r="B210" s="2"/>
      <c r="C210" s="2" t="s">
        <v>223</v>
      </c>
      <c r="D210" s="2" t="s">
        <v>11</v>
      </c>
      <c r="E210" s="2" t="s">
        <v>132</v>
      </c>
      <c r="F210" s="2">
        <v>1.0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 t="s">
        <v>242</v>
      </c>
      <c r="B211" s="2"/>
      <c r="C211" s="2" t="s">
        <v>243</v>
      </c>
      <c r="D211" s="2" t="s">
        <v>11</v>
      </c>
      <c r="E211" s="2" t="s">
        <v>132</v>
      </c>
      <c r="F211" s="2">
        <v>1.0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 t="s">
        <v>242</v>
      </c>
      <c r="B212" s="2"/>
      <c r="C212" s="2" t="s">
        <v>247</v>
      </c>
      <c r="D212" s="2" t="s">
        <v>11</v>
      </c>
      <c r="E212" s="2" t="s">
        <v>132</v>
      </c>
      <c r="F212" s="2">
        <v>1.0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 t="s">
        <v>242</v>
      </c>
      <c r="B213" s="2"/>
      <c r="C213" s="2" t="s">
        <v>248</v>
      </c>
      <c r="D213" s="2" t="s">
        <v>11</v>
      </c>
      <c r="E213" s="2" t="s">
        <v>132</v>
      </c>
      <c r="F213" s="2">
        <v>1.0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 t="s">
        <v>242</v>
      </c>
      <c r="B214" s="2"/>
      <c r="C214" s="2" t="s">
        <v>92</v>
      </c>
      <c r="D214" s="2" t="s">
        <v>11</v>
      </c>
      <c r="E214" s="2" t="s">
        <v>132</v>
      </c>
      <c r="F214" s="2">
        <v>1.0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 t="s">
        <v>242</v>
      </c>
      <c r="B215" s="2"/>
      <c r="C215" s="2" t="s">
        <v>249</v>
      </c>
      <c r="D215" s="2" t="s">
        <v>11</v>
      </c>
      <c r="E215" s="2" t="s">
        <v>132</v>
      </c>
      <c r="F215" s="2">
        <v>1.0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 t="s">
        <v>242</v>
      </c>
      <c r="B216" s="2"/>
      <c r="C216" s="2" t="s">
        <v>250</v>
      </c>
      <c r="D216" s="2" t="s">
        <v>11</v>
      </c>
      <c r="E216" s="2" t="s">
        <v>132</v>
      </c>
      <c r="F216" s="2">
        <v>1.0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 t="s">
        <v>242</v>
      </c>
      <c r="B217" s="2"/>
      <c r="C217" s="2" t="s">
        <v>251</v>
      </c>
      <c r="D217" s="2" t="s">
        <v>11</v>
      </c>
      <c r="E217" s="2" t="s">
        <v>132</v>
      </c>
      <c r="F217" s="2">
        <v>1.0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 t="s">
        <v>252</v>
      </c>
      <c r="B218" s="2">
        <v>1.0</v>
      </c>
      <c r="C218" s="2" t="s">
        <v>185</v>
      </c>
      <c r="D218" s="2" t="s">
        <v>11</v>
      </c>
      <c r="E218" s="2" t="s">
        <v>132</v>
      </c>
      <c r="F218" s="2">
        <v>1.0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 t="s">
        <v>252</v>
      </c>
      <c r="B219" s="2"/>
      <c r="C219" s="2" t="s">
        <v>253</v>
      </c>
      <c r="D219" s="2" t="s">
        <v>11</v>
      </c>
      <c r="E219" s="2" t="s">
        <v>132</v>
      </c>
      <c r="F219" s="2">
        <v>1.0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 t="s">
        <v>252</v>
      </c>
      <c r="B220" s="2"/>
      <c r="C220" s="2" t="s">
        <v>92</v>
      </c>
      <c r="D220" s="2" t="s">
        <v>11</v>
      </c>
      <c r="E220" s="2" t="s">
        <v>132</v>
      </c>
      <c r="F220" s="2">
        <v>1.0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 t="s">
        <v>252</v>
      </c>
      <c r="B221" s="2"/>
      <c r="C221" s="2" t="s">
        <v>254</v>
      </c>
      <c r="D221" s="2" t="s">
        <v>11</v>
      </c>
      <c r="E221" s="2" t="s">
        <v>132</v>
      </c>
      <c r="F221" s="2">
        <v>1.0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 t="s">
        <v>252</v>
      </c>
      <c r="B222" s="2"/>
      <c r="C222" s="2" t="s">
        <v>158</v>
      </c>
      <c r="D222" s="2" t="s">
        <v>11</v>
      </c>
      <c r="E222" s="2" t="s">
        <v>132</v>
      </c>
      <c r="F222" s="2">
        <v>1.0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 t="s">
        <v>252</v>
      </c>
      <c r="B223" s="2"/>
      <c r="C223" s="2" t="s">
        <v>255</v>
      </c>
      <c r="D223" s="2" t="s">
        <v>11</v>
      </c>
      <c r="E223" s="2" t="s">
        <v>132</v>
      </c>
      <c r="F223" s="2">
        <v>1.0</v>
      </c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 t="s">
        <v>256</v>
      </c>
      <c r="B224" s="2">
        <v>1.0</v>
      </c>
      <c r="C224" s="2"/>
      <c r="D224" s="2" t="s">
        <v>11</v>
      </c>
      <c r="E224" s="2" t="s">
        <v>132</v>
      </c>
      <c r="F224" s="2">
        <v>2.0</v>
      </c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 t="s">
        <v>256</v>
      </c>
      <c r="B225" s="2"/>
      <c r="C225" s="2" t="s">
        <v>138</v>
      </c>
      <c r="D225" s="2" t="s">
        <v>11</v>
      </c>
      <c r="E225" s="2" t="s">
        <v>132</v>
      </c>
      <c r="F225" s="2">
        <v>1.0</v>
      </c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 t="s">
        <v>257</v>
      </c>
      <c r="B226" s="2"/>
      <c r="C226" s="2" t="s">
        <v>137</v>
      </c>
      <c r="D226" s="2" t="s">
        <v>11</v>
      </c>
      <c r="E226" s="2" t="s">
        <v>132</v>
      </c>
      <c r="F226" s="2">
        <v>1.0</v>
      </c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 t="s">
        <v>257</v>
      </c>
      <c r="B227" s="2"/>
      <c r="C227" s="2" t="s">
        <v>136</v>
      </c>
      <c r="D227" s="2" t="s">
        <v>11</v>
      </c>
      <c r="E227" s="2" t="s">
        <v>132</v>
      </c>
      <c r="F227" s="2">
        <v>1.0</v>
      </c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 t="s">
        <v>257</v>
      </c>
      <c r="B228" s="2"/>
      <c r="C228" s="2" t="s">
        <v>258</v>
      </c>
      <c r="D228" s="2" t="s">
        <v>11</v>
      </c>
      <c r="E228" s="2" t="s">
        <v>132</v>
      </c>
      <c r="F228" s="2">
        <v>1.0</v>
      </c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 t="s">
        <v>257</v>
      </c>
      <c r="B229" s="2"/>
      <c r="C229" s="2" t="s">
        <v>149</v>
      </c>
      <c r="D229" s="2" t="s">
        <v>11</v>
      </c>
      <c r="E229" s="2" t="s">
        <v>132</v>
      </c>
      <c r="F229" s="2">
        <v>1.0</v>
      </c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 t="s">
        <v>259</v>
      </c>
      <c r="B230" s="2">
        <v>1.0</v>
      </c>
      <c r="C230" s="2" t="s">
        <v>83</v>
      </c>
      <c r="D230" s="2" t="s">
        <v>11</v>
      </c>
      <c r="E230" s="2" t="s">
        <v>132</v>
      </c>
      <c r="F230" s="2">
        <v>2.0</v>
      </c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 t="s">
        <v>260</v>
      </c>
      <c r="B231" s="2">
        <v>1.0</v>
      </c>
      <c r="C231" s="2"/>
      <c r="D231" s="2" t="s">
        <v>11</v>
      </c>
      <c r="E231" s="2" t="s">
        <v>132</v>
      </c>
      <c r="F231" s="2">
        <v>2.0</v>
      </c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 t="s">
        <v>260</v>
      </c>
      <c r="B232" s="2"/>
      <c r="C232" s="2" t="s">
        <v>137</v>
      </c>
      <c r="D232" s="2" t="s">
        <v>11</v>
      </c>
      <c r="E232" s="2" t="s">
        <v>132</v>
      </c>
      <c r="F232" s="2">
        <v>1.0</v>
      </c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 t="s">
        <v>260</v>
      </c>
      <c r="B233" s="2"/>
      <c r="C233" s="2" t="s">
        <v>138</v>
      </c>
      <c r="D233" s="2" t="s">
        <v>11</v>
      </c>
      <c r="E233" s="2" t="s">
        <v>132</v>
      </c>
      <c r="F233" s="2">
        <v>1.0</v>
      </c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 t="s">
        <v>260</v>
      </c>
      <c r="B234" s="2"/>
      <c r="C234" s="2" t="s">
        <v>261</v>
      </c>
      <c r="D234" s="2" t="s">
        <v>11</v>
      </c>
      <c r="E234" s="2" t="s">
        <v>132</v>
      </c>
      <c r="F234" s="2">
        <v>1.0</v>
      </c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 t="s">
        <v>262</v>
      </c>
      <c r="B235" s="2">
        <v>1.0</v>
      </c>
      <c r="C235" s="2" t="s">
        <v>263</v>
      </c>
      <c r="D235" s="2" t="s">
        <v>11</v>
      </c>
      <c r="E235" s="2" t="s">
        <v>132</v>
      </c>
      <c r="F235" s="2">
        <v>1.0</v>
      </c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 t="s">
        <v>262</v>
      </c>
      <c r="B236" s="2"/>
      <c r="C236" s="2" t="s">
        <v>92</v>
      </c>
      <c r="D236" s="2" t="s">
        <v>11</v>
      </c>
      <c r="E236" s="2" t="s">
        <v>132</v>
      </c>
      <c r="F236" s="2">
        <v>1.0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 t="s">
        <v>264</v>
      </c>
      <c r="B237" s="2">
        <v>1.0</v>
      </c>
      <c r="C237" s="2" t="s">
        <v>164</v>
      </c>
      <c r="D237" s="2" t="s">
        <v>11</v>
      </c>
      <c r="E237" s="2" t="s">
        <v>132</v>
      </c>
      <c r="F237" s="2">
        <v>1.0</v>
      </c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 t="s">
        <v>264</v>
      </c>
      <c r="B238" s="2"/>
      <c r="C238" s="2" t="s">
        <v>153</v>
      </c>
      <c r="D238" s="2" t="s">
        <v>11</v>
      </c>
      <c r="E238" s="2" t="s">
        <v>132</v>
      </c>
      <c r="F238" s="2">
        <v>1.0</v>
      </c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 t="s">
        <v>264</v>
      </c>
      <c r="B239" s="2"/>
      <c r="C239" s="2" t="s">
        <v>92</v>
      </c>
      <c r="D239" s="2" t="s">
        <v>11</v>
      </c>
      <c r="E239" s="2" t="s">
        <v>132</v>
      </c>
      <c r="F239" s="2">
        <v>1.0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 t="s">
        <v>265</v>
      </c>
      <c r="B240" s="2">
        <v>1.0</v>
      </c>
      <c r="C240" s="2" t="s">
        <v>204</v>
      </c>
      <c r="D240" s="2" t="s">
        <v>11</v>
      </c>
      <c r="E240" s="2" t="s">
        <v>132</v>
      </c>
      <c r="F240" s="2">
        <v>1.0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 t="s">
        <v>265</v>
      </c>
      <c r="B241" s="2"/>
      <c r="C241" s="2" t="s">
        <v>266</v>
      </c>
      <c r="D241" s="2" t="s">
        <v>11</v>
      </c>
      <c r="E241" s="2" t="s">
        <v>132</v>
      </c>
      <c r="F241" s="2">
        <v>1.0</v>
      </c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 t="s">
        <v>265</v>
      </c>
      <c r="B242" s="2"/>
      <c r="C242" s="2" t="s">
        <v>267</v>
      </c>
      <c r="D242" s="2" t="s">
        <v>11</v>
      </c>
      <c r="E242" s="2" t="s">
        <v>132</v>
      </c>
      <c r="F242" s="2">
        <v>1.0</v>
      </c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 t="s">
        <v>268</v>
      </c>
      <c r="B243" s="2">
        <v>1.0</v>
      </c>
      <c r="C243" s="2"/>
      <c r="D243" s="2" t="s">
        <v>11</v>
      </c>
      <c r="E243" s="2" t="s">
        <v>132</v>
      </c>
      <c r="F243" s="2">
        <v>1.0</v>
      </c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 t="s">
        <v>269</v>
      </c>
      <c r="B244" s="2"/>
      <c r="C244" s="2"/>
      <c r="D244" s="2" t="s">
        <v>11</v>
      </c>
      <c r="E244" s="2" t="s">
        <v>132</v>
      </c>
      <c r="F244" s="2">
        <v>1.0</v>
      </c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 t="s">
        <v>270</v>
      </c>
      <c r="B245" s="2"/>
      <c r="C245" s="2"/>
      <c r="D245" s="2" t="s">
        <v>11</v>
      </c>
      <c r="E245" s="2" t="s">
        <v>132</v>
      </c>
      <c r="F245" s="2">
        <v>1.0</v>
      </c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 t="s">
        <v>271</v>
      </c>
      <c r="B246" s="2">
        <v>1.0</v>
      </c>
      <c r="C246" s="2" t="s">
        <v>272</v>
      </c>
      <c r="D246" s="2" t="s">
        <v>11</v>
      </c>
      <c r="E246" s="2" t="s">
        <v>132</v>
      </c>
      <c r="F246" s="2">
        <v>1.0</v>
      </c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 t="s">
        <v>273</v>
      </c>
      <c r="B247" s="2">
        <v>1.0</v>
      </c>
      <c r="C247" s="2" t="s">
        <v>185</v>
      </c>
      <c r="D247" s="2" t="s">
        <v>11</v>
      </c>
      <c r="E247" s="2" t="s">
        <v>132</v>
      </c>
      <c r="F247" s="2">
        <v>1.0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 t="s">
        <v>273</v>
      </c>
      <c r="B248" s="2"/>
      <c r="C248" s="2" t="s">
        <v>92</v>
      </c>
      <c r="D248" s="2" t="s">
        <v>11</v>
      </c>
      <c r="E248" s="2" t="s">
        <v>132</v>
      </c>
      <c r="F248" s="2">
        <v>1.0</v>
      </c>
      <c r="G248" s="2">
        <f>SUM(F107:F248)</f>
        <v>152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 t="s">
        <v>280</v>
      </c>
      <c r="B249" s="2">
        <v>1.0</v>
      </c>
      <c r="C249" s="2"/>
      <c r="D249" s="2" t="s">
        <v>11</v>
      </c>
      <c r="E249" s="2" t="s">
        <v>275</v>
      </c>
      <c r="F249" s="2">
        <v>1.0</v>
      </c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8" t="s">
        <v>103</v>
      </c>
      <c r="B250" s="9">
        <v>1.0</v>
      </c>
      <c r="C250" s="9" t="s">
        <v>22</v>
      </c>
      <c r="D250" s="9" t="s">
        <v>11</v>
      </c>
      <c r="E250" s="9" t="s">
        <v>275</v>
      </c>
      <c r="F250" s="9">
        <v>1.0</v>
      </c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8" t="s">
        <v>278</v>
      </c>
      <c r="B251" s="9">
        <v>1.0</v>
      </c>
      <c r="C251" s="2"/>
      <c r="D251" s="9" t="s">
        <v>11</v>
      </c>
      <c r="E251" s="9" t="s">
        <v>275</v>
      </c>
      <c r="F251" s="9">
        <v>1.0</v>
      </c>
      <c r="G251" s="2">
        <f>SUM(F249:F251)</f>
        <v>3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 t="s">
        <v>281</v>
      </c>
      <c r="B252" s="2">
        <v>1.0</v>
      </c>
      <c r="C252" s="2"/>
      <c r="D252" s="2" t="s">
        <v>11</v>
      </c>
      <c r="E252" s="2" t="s">
        <v>283</v>
      </c>
      <c r="F252" s="2">
        <v>1.0</v>
      </c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 t="s">
        <v>284</v>
      </c>
      <c r="B253" s="2">
        <v>1.0</v>
      </c>
      <c r="C253" s="2" t="s">
        <v>285</v>
      </c>
      <c r="D253" s="2" t="s">
        <v>11</v>
      </c>
      <c r="E253" s="2" t="s">
        <v>283</v>
      </c>
      <c r="F253" s="2">
        <v>1.0</v>
      </c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 t="s">
        <v>284</v>
      </c>
      <c r="B254" s="2"/>
      <c r="C254" s="2" t="s">
        <v>286</v>
      </c>
      <c r="D254" s="2" t="s">
        <v>11</v>
      </c>
      <c r="E254" s="2" t="s">
        <v>283</v>
      </c>
      <c r="F254" s="2">
        <v>1.0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 t="s">
        <v>284</v>
      </c>
      <c r="B255" s="2"/>
      <c r="C255" s="2" t="s">
        <v>287</v>
      </c>
      <c r="D255" s="2" t="s">
        <v>11</v>
      </c>
      <c r="E255" s="2" t="s">
        <v>283</v>
      </c>
      <c r="F255" s="2">
        <v>1.0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 t="s">
        <v>284</v>
      </c>
      <c r="B256" s="2"/>
      <c r="C256" s="2" t="s">
        <v>288</v>
      </c>
      <c r="D256" s="2" t="s">
        <v>11</v>
      </c>
      <c r="E256" s="2" t="s">
        <v>283</v>
      </c>
      <c r="F256" s="2">
        <v>1.0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 t="s">
        <v>289</v>
      </c>
      <c r="B257" s="2">
        <v>1.0</v>
      </c>
      <c r="C257" s="2"/>
      <c r="D257" s="2" t="s">
        <v>11</v>
      </c>
      <c r="E257" s="2" t="s">
        <v>283</v>
      </c>
      <c r="F257" s="2">
        <v>1.0</v>
      </c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 t="s">
        <v>292</v>
      </c>
      <c r="B258" s="2">
        <v>1.0</v>
      </c>
      <c r="C258" s="2"/>
      <c r="D258" s="2" t="s">
        <v>11</v>
      </c>
      <c r="E258" s="2" t="s">
        <v>283</v>
      </c>
      <c r="F258" s="2">
        <v>1.0</v>
      </c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 t="s">
        <v>293</v>
      </c>
      <c r="B259" s="2">
        <v>1.0</v>
      </c>
      <c r="C259" s="1"/>
      <c r="D259" s="2" t="s">
        <v>11</v>
      </c>
      <c r="E259" s="2" t="s">
        <v>283</v>
      </c>
      <c r="F259" s="2">
        <v>1.0</v>
      </c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 t="s">
        <v>293</v>
      </c>
      <c r="B260" s="2"/>
      <c r="C260" s="2" t="s">
        <v>294</v>
      </c>
      <c r="D260" s="2" t="s">
        <v>11</v>
      </c>
      <c r="E260" s="2" t="s">
        <v>283</v>
      </c>
      <c r="F260" s="2">
        <v>1.0</v>
      </c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 t="s">
        <v>295</v>
      </c>
      <c r="B261" s="2">
        <v>1.0</v>
      </c>
      <c r="C261" s="2" t="s">
        <v>282</v>
      </c>
      <c r="D261" s="2" t="s">
        <v>11</v>
      </c>
      <c r="E261" s="2" t="s">
        <v>283</v>
      </c>
      <c r="F261" s="2">
        <v>1.0</v>
      </c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 t="s">
        <v>295</v>
      </c>
      <c r="B262" s="2"/>
      <c r="C262" s="2" t="s">
        <v>296</v>
      </c>
      <c r="D262" s="2" t="s">
        <v>11</v>
      </c>
      <c r="E262" s="2" t="s">
        <v>283</v>
      </c>
      <c r="F262" s="2">
        <v>1.0</v>
      </c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 t="s">
        <v>295</v>
      </c>
      <c r="B263" s="2"/>
      <c r="C263" s="2" t="s">
        <v>297</v>
      </c>
      <c r="D263" s="2" t="s">
        <v>11</v>
      </c>
      <c r="E263" s="2" t="s">
        <v>283</v>
      </c>
      <c r="F263" s="2">
        <v>1.0</v>
      </c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 t="s">
        <v>299</v>
      </c>
      <c r="B264" s="2"/>
      <c r="C264" s="2"/>
      <c r="D264" s="2" t="s">
        <v>11</v>
      </c>
      <c r="E264" s="2" t="s">
        <v>283</v>
      </c>
      <c r="F264" s="2">
        <v>2.0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 t="s">
        <v>299</v>
      </c>
      <c r="B265" s="2">
        <v>1.0</v>
      </c>
      <c r="C265" s="2" t="s">
        <v>300</v>
      </c>
      <c r="D265" s="2" t="s">
        <v>11</v>
      </c>
      <c r="E265" s="2" t="s">
        <v>283</v>
      </c>
      <c r="F265" s="2">
        <v>2.0</v>
      </c>
      <c r="G265" s="2">
        <f>SUM(F252:F265)</f>
        <v>16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 t="s">
        <v>243</v>
      </c>
      <c r="B266" s="2">
        <v>1.0</v>
      </c>
      <c r="C266" s="2"/>
      <c r="D266" s="2" t="s">
        <v>11</v>
      </c>
      <c r="E266" s="2" t="s">
        <v>302</v>
      </c>
      <c r="F266" s="2">
        <v>1.0</v>
      </c>
      <c r="G266" s="2">
        <f>SUM(F266)</f>
        <v>1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 t="s">
        <v>313</v>
      </c>
      <c r="B267" s="2">
        <v>1.0</v>
      </c>
      <c r="C267" s="2"/>
      <c r="D267" s="2" t="s">
        <v>11</v>
      </c>
      <c r="E267" s="2" t="s">
        <v>311</v>
      </c>
      <c r="F267" s="2">
        <v>1.0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 t="s">
        <v>313</v>
      </c>
      <c r="B268" s="2"/>
      <c r="C268" s="2" t="s">
        <v>316</v>
      </c>
      <c r="D268" s="2" t="s">
        <v>11</v>
      </c>
      <c r="E268" s="2" t="s">
        <v>311</v>
      </c>
      <c r="F268" s="2">
        <v>2.0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 t="s">
        <v>317</v>
      </c>
      <c r="B269" s="2">
        <v>1.0</v>
      </c>
      <c r="C269" s="2" t="s">
        <v>167</v>
      </c>
      <c r="D269" s="2" t="s">
        <v>11</v>
      </c>
      <c r="E269" s="2" t="s">
        <v>311</v>
      </c>
      <c r="F269" s="2">
        <v>1.0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 t="s">
        <v>317</v>
      </c>
      <c r="B270" s="2"/>
      <c r="C270" s="2" t="s">
        <v>318</v>
      </c>
      <c r="D270" s="2" t="s">
        <v>11</v>
      </c>
      <c r="E270" s="2" t="s">
        <v>311</v>
      </c>
      <c r="F270" s="2">
        <v>1.0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 t="s">
        <v>317</v>
      </c>
      <c r="B271" s="2"/>
      <c r="C271" s="2" t="s">
        <v>182</v>
      </c>
      <c r="D271" s="2" t="s">
        <v>11</v>
      </c>
      <c r="E271" s="2" t="s">
        <v>311</v>
      </c>
      <c r="F271" s="2">
        <v>1.0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 t="s">
        <v>317</v>
      </c>
      <c r="B272" s="2"/>
      <c r="C272" s="2" t="s">
        <v>154</v>
      </c>
      <c r="D272" s="2" t="s">
        <v>11</v>
      </c>
      <c r="E272" s="2" t="s">
        <v>311</v>
      </c>
      <c r="F272" s="2">
        <v>1.0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 t="s">
        <v>319</v>
      </c>
      <c r="B273" s="2">
        <v>1.0</v>
      </c>
      <c r="C273" s="2" t="s">
        <v>83</v>
      </c>
      <c r="D273" s="2" t="s">
        <v>11</v>
      </c>
      <c r="E273" s="2" t="s">
        <v>311</v>
      </c>
      <c r="F273" s="2">
        <v>1.0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 t="s">
        <v>324</v>
      </c>
      <c r="B274" s="2">
        <v>1.0</v>
      </c>
      <c r="C274" s="2"/>
      <c r="D274" s="2" t="s">
        <v>11</v>
      </c>
      <c r="E274" s="2" t="s">
        <v>311</v>
      </c>
      <c r="F274" s="2">
        <v>1.0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 t="s">
        <v>330</v>
      </c>
      <c r="B275" s="2">
        <v>1.0</v>
      </c>
      <c r="C275" s="2"/>
      <c r="D275" s="2" t="s">
        <v>11</v>
      </c>
      <c r="E275" s="2" t="s">
        <v>311</v>
      </c>
      <c r="F275" s="2">
        <v>1.0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 t="s">
        <v>330</v>
      </c>
      <c r="B276" s="2"/>
      <c r="C276" s="2" t="s">
        <v>335</v>
      </c>
      <c r="D276" s="2" t="s">
        <v>11</v>
      </c>
      <c r="E276" s="2" t="s">
        <v>311</v>
      </c>
      <c r="F276" s="2">
        <v>1.0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 t="s">
        <v>339</v>
      </c>
      <c r="B277" s="2">
        <v>1.0</v>
      </c>
      <c r="C277" s="2"/>
      <c r="D277" s="2" t="s">
        <v>11</v>
      </c>
      <c r="E277" s="2" t="s">
        <v>311</v>
      </c>
      <c r="F277" s="2">
        <v>1.0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 t="s">
        <v>340</v>
      </c>
      <c r="B278" s="2">
        <v>1.0</v>
      </c>
      <c r="C278" s="2" t="s">
        <v>10</v>
      </c>
      <c r="D278" s="2" t="s">
        <v>11</v>
      </c>
      <c r="E278" s="2" t="s">
        <v>311</v>
      </c>
      <c r="F278" s="2">
        <v>1.0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 t="s">
        <v>343</v>
      </c>
      <c r="B279" s="2"/>
      <c r="C279" s="2" t="s">
        <v>138</v>
      </c>
      <c r="D279" s="2" t="s">
        <v>11</v>
      </c>
      <c r="E279" s="2" t="s">
        <v>311</v>
      </c>
      <c r="F279" s="2">
        <v>1.0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 t="s">
        <v>344</v>
      </c>
      <c r="B280" s="2">
        <v>1.0</v>
      </c>
      <c r="C280" s="2" t="s">
        <v>345</v>
      </c>
      <c r="D280" s="2" t="s">
        <v>11</v>
      </c>
      <c r="E280" s="2" t="s">
        <v>311</v>
      </c>
      <c r="F280" s="2">
        <v>1.0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 t="s">
        <v>344</v>
      </c>
      <c r="B281" s="2"/>
      <c r="C281" s="2" t="s">
        <v>346</v>
      </c>
      <c r="D281" s="2" t="s">
        <v>11</v>
      </c>
      <c r="E281" s="2" t="s">
        <v>311</v>
      </c>
      <c r="F281" s="2">
        <v>1.0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 t="s">
        <v>350</v>
      </c>
      <c r="B282" s="2">
        <v>1.0</v>
      </c>
      <c r="C282" s="2"/>
      <c r="D282" s="2" t="s">
        <v>11</v>
      </c>
      <c r="E282" s="2" t="s">
        <v>311</v>
      </c>
      <c r="F282" s="2">
        <v>1.0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 t="s">
        <v>351</v>
      </c>
      <c r="B283" s="2">
        <v>1.0</v>
      </c>
      <c r="C283" s="2"/>
      <c r="D283" s="2" t="s">
        <v>11</v>
      </c>
      <c r="E283" s="2" t="s">
        <v>311</v>
      </c>
      <c r="F283" s="2">
        <v>1.0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 t="s">
        <v>351</v>
      </c>
      <c r="B284" s="2">
        <v>1.0</v>
      </c>
      <c r="C284" s="2" t="s">
        <v>352</v>
      </c>
      <c r="D284" s="2" t="s">
        <v>11</v>
      </c>
      <c r="E284" s="2" t="s">
        <v>311</v>
      </c>
      <c r="F284" s="2">
        <v>1.0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 t="s">
        <v>354</v>
      </c>
      <c r="B285" s="2">
        <v>1.0</v>
      </c>
      <c r="C285" s="2" t="s">
        <v>355</v>
      </c>
      <c r="D285" s="2" t="s">
        <v>11</v>
      </c>
      <c r="E285" s="2" t="s">
        <v>311</v>
      </c>
      <c r="F285" s="2">
        <v>1.0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 t="s">
        <v>354</v>
      </c>
      <c r="B286" s="2"/>
      <c r="C286" s="2"/>
      <c r="D286" s="2" t="s">
        <v>11</v>
      </c>
      <c r="E286" s="2" t="s">
        <v>311</v>
      </c>
      <c r="F286" s="2">
        <v>1.0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 t="s">
        <v>359</v>
      </c>
      <c r="B287" s="2">
        <v>1.0</v>
      </c>
      <c r="C287" s="2"/>
      <c r="D287" s="2" t="s">
        <v>11</v>
      </c>
      <c r="E287" s="2" t="s">
        <v>311</v>
      </c>
      <c r="F287" s="2">
        <v>1.0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 t="s">
        <v>359</v>
      </c>
      <c r="B288" s="2"/>
      <c r="C288" s="2" t="s">
        <v>182</v>
      </c>
      <c r="D288" s="2" t="s">
        <v>11</v>
      </c>
      <c r="E288" s="2" t="s">
        <v>311</v>
      </c>
      <c r="F288" s="2">
        <v>1.0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 t="s">
        <v>361</v>
      </c>
      <c r="B289" s="2">
        <v>1.0</v>
      </c>
      <c r="C289" s="2" t="s">
        <v>83</v>
      </c>
      <c r="D289" s="2" t="s">
        <v>11</v>
      </c>
      <c r="E289" s="2" t="s">
        <v>311</v>
      </c>
      <c r="F289" s="2">
        <v>1.0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 t="s">
        <v>362</v>
      </c>
      <c r="B290" s="2"/>
      <c r="C290" s="2" t="s">
        <v>115</v>
      </c>
      <c r="D290" s="2" t="s">
        <v>11</v>
      </c>
      <c r="E290" s="2" t="s">
        <v>311</v>
      </c>
      <c r="F290" s="2">
        <v>1.0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 t="s">
        <v>363</v>
      </c>
      <c r="B291" s="2">
        <v>1.0</v>
      </c>
      <c r="C291" s="2" t="s">
        <v>83</v>
      </c>
      <c r="D291" s="2" t="s">
        <v>11</v>
      </c>
      <c r="E291" s="2" t="s">
        <v>311</v>
      </c>
      <c r="F291" s="2">
        <v>1.0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 t="s">
        <v>366</v>
      </c>
      <c r="B292" s="2">
        <v>1.0</v>
      </c>
      <c r="C292" s="2"/>
      <c r="D292" s="2" t="s">
        <v>11</v>
      </c>
      <c r="E292" s="2" t="s">
        <v>311</v>
      </c>
      <c r="F292" s="2">
        <v>1.0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 t="s">
        <v>367</v>
      </c>
      <c r="B293" s="2">
        <v>1.0</v>
      </c>
      <c r="C293" s="2"/>
      <c r="D293" s="2" t="s">
        <v>11</v>
      </c>
      <c r="E293" s="2" t="s">
        <v>311</v>
      </c>
      <c r="F293" s="2">
        <v>1.0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 t="s">
        <v>367</v>
      </c>
      <c r="B294" s="2"/>
      <c r="C294" s="2" t="s">
        <v>244</v>
      </c>
      <c r="D294" s="2" t="s">
        <v>11</v>
      </c>
      <c r="E294" s="2" t="s">
        <v>311</v>
      </c>
      <c r="F294" s="2">
        <v>1.0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 t="s">
        <v>370</v>
      </c>
      <c r="B295" s="2">
        <v>1.0</v>
      </c>
      <c r="C295" s="2"/>
      <c r="D295" s="2" t="s">
        <v>11</v>
      </c>
      <c r="E295" s="2" t="s">
        <v>311</v>
      </c>
      <c r="F295" s="2">
        <v>1.0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 t="s">
        <v>372</v>
      </c>
      <c r="B296" s="2">
        <v>1.0</v>
      </c>
      <c r="C296" s="2"/>
      <c r="D296" s="2" t="s">
        <v>11</v>
      </c>
      <c r="E296" s="2" t="s">
        <v>311</v>
      </c>
      <c r="F296" s="2">
        <v>1.0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 t="s">
        <v>374</v>
      </c>
      <c r="B297" s="2">
        <v>1.0</v>
      </c>
      <c r="C297" s="2" t="s">
        <v>182</v>
      </c>
      <c r="D297" s="2" t="s">
        <v>11</v>
      </c>
      <c r="E297" s="2" t="s">
        <v>311</v>
      </c>
      <c r="F297" s="2">
        <v>1.0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 t="s">
        <v>379</v>
      </c>
      <c r="B298" s="2">
        <v>1.0</v>
      </c>
      <c r="C298" s="2" t="s">
        <v>380</v>
      </c>
      <c r="D298" s="2" t="s">
        <v>11</v>
      </c>
      <c r="E298" s="2" t="s">
        <v>311</v>
      </c>
      <c r="F298" s="2">
        <v>1.0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 t="s">
        <v>379</v>
      </c>
      <c r="B299" s="2"/>
      <c r="C299" s="2" t="s">
        <v>381</v>
      </c>
      <c r="D299" s="2" t="s">
        <v>11</v>
      </c>
      <c r="E299" s="2" t="s">
        <v>311</v>
      </c>
      <c r="F299" s="2">
        <v>1.0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 t="s">
        <v>385</v>
      </c>
      <c r="B300" s="2"/>
      <c r="C300" s="2" t="s">
        <v>387</v>
      </c>
      <c r="D300" s="2" t="s">
        <v>11</v>
      </c>
      <c r="E300" s="2" t="s">
        <v>311</v>
      </c>
      <c r="F300" s="2">
        <v>1.0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 t="s">
        <v>388</v>
      </c>
      <c r="B301" s="2">
        <v>1.0</v>
      </c>
      <c r="C301" s="2" t="s">
        <v>389</v>
      </c>
      <c r="D301" s="2" t="s">
        <v>11</v>
      </c>
      <c r="E301" s="2" t="s">
        <v>311</v>
      </c>
      <c r="F301" s="2">
        <v>1.0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 t="s">
        <v>388</v>
      </c>
      <c r="B302" s="2"/>
      <c r="C302" s="2" t="s">
        <v>390</v>
      </c>
      <c r="D302" s="2" t="s">
        <v>11</v>
      </c>
      <c r="E302" s="2" t="s">
        <v>311</v>
      </c>
      <c r="F302" s="2">
        <v>1.0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 t="s">
        <v>388</v>
      </c>
      <c r="B303" s="2"/>
      <c r="C303" s="2" t="s">
        <v>69</v>
      </c>
      <c r="D303" s="2" t="s">
        <v>11</v>
      </c>
      <c r="E303" s="2" t="s">
        <v>311</v>
      </c>
      <c r="F303" s="2">
        <v>1.0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3" t="s">
        <v>391</v>
      </c>
      <c r="B304" s="2">
        <v>1.0</v>
      </c>
      <c r="C304" s="2" t="s">
        <v>392</v>
      </c>
      <c r="D304" s="2" t="s">
        <v>11</v>
      </c>
      <c r="E304" s="2" t="s">
        <v>311</v>
      </c>
      <c r="F304" s="2">
        <v>1.0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3" t="s">
        <v>391</v>
      </c>
      <c r="B305" s="2"/>
      <c r="C305" s="2" t="s">
        <v>393</v>
      </c>
      <c r="D305" s="2" t="s">
        <v>11</v>
      </c>
      <c r="E305" s="2" t="s">
        <v>311</v>
      </c>
      <c r="F305" s="2">
        <v>1.0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 t="s">
        <v>394</v>
      </c>
      <c r="B306" s="2">
        <v>1.0</v>
      </c>
      <c r="C306" s="2"/>
      <c r="D306" s="2" t="s">
        <v>11</v>
      </c>
      <c r="E306" s="2" t="s">
        <v>311</v>
      </c>
      <c r="F306" s="2">
        <v>2.0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 t="s">
        <v>399</v>
      </c>
      <c r="B307" s="2">
        <v>1.0</v>
      </c>
      <c r="C307" s="2"/>
      <c r="D307" s="2" t="s">
        <v>11</v>
      </c>
      <c r="E307" s="2" t="s">
        <v>311</v>
      </c>
      <c r="F307" s="2">
        <v>1.0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 t="s">
        <v>401</v>
      </c>
      <c r="B308" s="2">
        <v>1.0</v>
      </c>
      <c r="C308" s="2"/>
      <c r="D308" s="2" t="s">
        <v>11</v>
      </c>
      <c r="E308" s="2" t="s">
        <v>311</v>
      </c>
      <c r="F308" s="2">
        <v>3.0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 t="s">
        <v>408</v>
      </c>
      <c r="B309" s="2">
        <v>1.0</v>
      </c>
      <c r="C309" s="14" t="s">
        <v>243</v>
      </c>
      <c r="D309" s="2" t="s">
        <v>11</v>
      </c>
      <c r="E309" s="2" t="s">
        <v>311</v>
      </c>
      <c r="F309" s="2">
        <v>1.0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 t="s">
        <v>409</v>
      </c>
      <c r="B310" s="2">
        <v>1.0</v>
      </c>
      <c r="C310" s="14" t="s">
        <v>333</v>
      </c>
      <c r="D310" s="2" t="s">
        <v>11</v>
      </c>
      <c r="E310" s="2" t="s">
        <v>311</v>
      </c>
      <c r="F310" s="2">
        <v>1.0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 t="s">
        <v>412</v>
      </c>
      <c r="B311" s="2">
        <v>1.0</v>
      </c>
      <c r="C311" s="2"/>
      <c r="D311" s="2" t="s">
        <v>11</v>
      </c>
      <c r="E311" s="2" t="s">
        <v>311</v>
      </c>
      <c r="F311" s="2">
        <v>1.0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 t="s">
        <v>412</v>
      </c>
      <c r="B312" s="2"/>
      <c r="C312" s="2" t="s">
        <v>416</v>
      </c>
      <c r="D312" s="2" t="s">
        <v>11</v>
      </c>
      <c r="E312" s="2" t="s">
        <v>311</v>
      </c>
      <c r="F312" s="2">
        <v>1.0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 t="s">
        <v>412</v>
      </c>
      <c r="B313" s="2"/>
      <c r="C313" s="2"/>
      <c r="D313" s="2" t="s">
        <v>11</v>
      </c>
      <c r="E313" s="2" t="s">
        <v>311</v>
      </c>
      <c r="F313" s="2">
        <v>1.0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 t="s">
        <v>419</v>
      </c>
      <c r="B314" s="2">
        <v>1.0</v>
      </c>
      <c r="C314" s="2"/>
      <c r="D314" s="2" t="s">
        <v>11</v>
      </c>
      <c r="E314" s="2" t="s">
        <v>311</v>
      </c>
      <c r="F314" s="2">
        <v>1.0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 t="s">
        <v>419</v>
      </c>
      <c r="B315" s="2"/>
      <c r="C315" s="2" t="s">
        <v>333</v>
      </c>
      <c r="D315" s="2" t="s">
        <v>11</v>
      </c>
      <c r="E315" s="2" t="s">
        <v>311</v>
      </c>
      <c r="F315" s="2">
        <v>1.0</v>
      </c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 t="s">
        <v>422</v>
      </c>
      <c r="B316" s="2">
        <v>1.0</v>
      </c>
      <c r="C316" s="2" t="s">
        <v>282</v>
      </c>
      <c r="D316" s="2" t="s">
        <v>11</v>
      </c>
      <c r="E316" s="2" t="s">
        <v>311</v>
      </c>
      <c r="F316" s="2">
        <v>1.0</v>
      </c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 t="s">
        <v>423</v>
      </c>
      <c r="B317" s="2">
        <v>1.0</v>
      </c>
      <c r="C317" s="2" t="s">
        <v>350</v>
      </c>
      <c r="D317" s="2" t="s">
        <v>11</v>
      </c>
      <c r="E317" s="2" t="s">
        <v>311</v>
      </c>
      <c r="F317" s="2">
        <v>1.0</v>
      </c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 t="s">
        <v>424</v>
      </c>
      <c r="B318" s="2">
        <v>1.0</v>
      </c>
      <c r="C318" s="2" t="s">
        <v>205</v>
      </c>
      <c r="D318" s="2" t="s">
        <v>11</v>
      </c>
      <c r="E318" s="2" t="s">
        <v>311</v>
      </c>
      <c r="F318" s="2">
        <v>1.0</v>
      </c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 t="s">
        <v>424</v>
      </c>
      <c r="B319" s="2"/>
      <c r="C319" s="2" t="s">
        <v>425</v>
      </c>
      <c r="D319" s="2" t="s">
        <v>11</v>
      </c>
      <c r="E319" s="2" t="s">
        <v>311</v>
      </c>
      <c r="F319" s="2">
        <v>1.0</v>
      </c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 t="s">
        <v>424</v>
      </c>
      <c r="B320" s="2"/>
      <c r="C320" s="2" t="s">
        <v>426</v>
      </c>
      <c r="D320" s="2" t="s">
        <v>11</v>
      </c>
      <c r="E320" s="2" t="s">
        <v>311</v>
      </c>
      <c r="F320" s="2">
        <v>1.0</v>
      </c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 t="s">
        <v>424</v>
      </c>
      <c r="B321" s="2"/>
      <c r="C321" s="2" t="s">
        <v>427</v>
      </c>
      <c r="D321" s="2" t="s">
        <v>11</v>
      </c>
      <c r="E321" s="2" t="s">
        <v>311</v>
      </c>
      <c r="F321" s="2">
        <v>1.0</v>
      </c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 t="s">
        <v>424</v>
      </c>
      <c r="B322" s="2"/>
      <c r="C322" s="2" t="s">
        <v>428</v>
      </c>
      <c r="D322" s="2" t="s">
        <v>11</v>
      </c>
      <c r="E322" s="2" t="s">
        <v>311</v>
      </c>
      <c r="F322" s="2">
        <v>1.0</v>
      </c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 t="s">
        <v>429</v>
      </c>
      <c r="B323" s="2">
        <v>1.0</v>
      </c>
      <c r="C323" s="2" t="s">
        <v>23</v>
      </c>
      <c r="D323" s="2" t="s">
        <v>11</v>
      </c>
      <c r="E323" s="2" t="s">
        <v>311</v>
      </c>
      <c r="F323" s="2">
        <v>1.0</v>
      </c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 t="s">
        <v>430</v>
      </c>
      <c r="B324" s="2"/>
      <c r="C324" s="2"/>
      <c r="D324" s="2" t="s">
        <v>11</v>
      </c>
      <c r="E324" s="2" t="s">
        <v>311</v>
      </c>
      <c r="F324" s="2">
        <v>1.0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 t="s">
        <v>431</v>
      </c>
      <c r="B325" s="2"/>
      <c r="C325" s="2" t="s">
        <v>182</v>
      </c>
      <c r="D325" s="2" t="s">
        <v>11</v>
      </c>
      <c r="E325" s="2" t="s">
        <v>311</v>
      </c>
      <c r="F325" s="2">
        <v>1.0</v>
      </c>
      <c r="G325" s="2">
        <f>SUM(F267:F325)</f>
        <v>63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 t="s">
        <v>434</v>
      </c>
      <c r="B326" s="2">
        <v>1.0</v>
      </c>
      <c r="C326" s="2"/>
      <c r="D326" s="2" t="s">
        <v>11</v>
      </c>
      <c r="E326" s="2" t="s">
        <v>435</v>
      </c>
      <c r="F326" s="2">
        <v>1.0</v>
      </c>
      <c r="G326" s="2">
        <v>1.0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 t="s">
        <v>448</v>
      </c>
      <c r="B327" s="2">
        <v>1.0</v>
      </c>
      <c r="C327" s="2" t="s">
        <v>449</v>
      </c>
      <c r="D327" s="2" t="s">
        <v>11</v>
      </c>
      <c r="E327" s="2" t="s">
        <v>439</v>
      </c>
      <c r="F327" s="2">
        <v>1.0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 t="s">
        <v>448</v>
      </c>
      <c r="B328" s="2"/>
      <c r="C328" s="2" t="s">
        <v>149</v>
      </c>
      <c r="D328" s="2" t="s">
        <v>11</v>
      </c>
      <c r="E328" s="2" t="s">
        <v>439</v>
      </c>
      <c r="F328" s="2">
        <v>1.0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 t="s">
        <v>448</v>
      </c>
      <c r="B329" s="2"/>
      <c r="C329" s="2" t="s">
        <v>451</v>
      </c>
      <c r="D329" s="2" t="s">
        <v>11</v>
      </c>
      <c r="E329" s="2" t="s">
        <v>439</v>
      </c>
      <c r="F329" s="2">
        <v>1.0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 t="s">
        <v>454</v>
      </c>
      <c r="B330" s="2">
        <v>1.0</v>
      </c>
      <c r="C330" s="2" t="s">
        <v>192</v>
      </c>
      <c r="D330" s="2" t="s">
        <v>11</v>
      </c>
      <c r="E330" s="2" t="s">
        <v>439</v>
      </c>
      <c r="F330" s="2">
        <v>1.0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 t="s">
        <v>454</v>
      </c>
      <c r="B331" s="2"/>
      <c r="C331" s="2" t="s">
        <v>455</v>
      </c>
      <c r="D331" s="2" t="s">
        <v>11</v>
      </c>
      <c r="E331" s="2" t="s">
        <v>439</v>
      </c>
      <c r="F331" s="2">
        <v>1.0</v>
      </c>
      <c r="G331" s="2">
        <f>SUM(F327:F331)</f>
        <v>5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 t="s">
        <v>457</v>
      </c>
      <c r="B332" s="2">
        <v>1.0</v>
      </c>
      <c r="C332" s="2"/>
      <c r="D332" s="2" t="s">
        <v>11</v>
      </c>
      <c r="E332" s="2" t="s">
        <v>458</v>
      </c>
      <c r="F332" s="2">
        <v>1.0</v>
      </c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 t="s">
        <v>459</v>
      </c>
      <c r="B333" s="2">
        <v>1.0</v>
      </c>
      <c r="C333" s="2"/>
      <c r="D333" s="2" t="s">
        <v>11</v>
      </c>
      <c r="E333" s="2" t="s">
        <v>458</v>
      </c>
      <c r="F333" s="2">
        <v>1.0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 t="s">
        <v>459</v>
      </c>
      <c r="B334" s="2"/>
      <c r="C334" s="2" t="s">
        <v>17</v>
      </c>
      <c r="D334" s="2" t="s">
        <v>11</v>
      </c>
      <c r="E334" s="2" t="s">
        <v>458</v>
      </c>
      <c r="F334" s="2">
        <v>1.0</v>
      </c>
      <c r="G334" s="2">
        <f>+SUM(F332:F334)</f>
        <v>3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 t="s">
        <v>462</v>
      </c>
      <c r="B335" s="2">
        <v>1.0</v>
      </c>
      <c r="C335" s="2" t="s">
        <v>445</v>
      </c>
      <c r="D335" s="2" t="s">
        <v>11</v>
      </c>
      <c r="E335" s="2" t="s">
        <v>461</v>
      </c>
      <c r="F335" s="2">
        <v>1.0</v>
      </c>
      <c r="G335" s="2">
        <v>1.0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 t="s">
        <v>464</v>
      </c>
      <c r="B336" s="2">
        <v>1.0</v>
      </c>
      <c r="C336" s="2" t="s">
        <v>17</v>
      </c>
      <c r="D336" s="2" t="s">
        <v>11</v>
      </c>
      <c r="E336" s="2" t="s">
        <v>465</v>
      </c>
      <c r="F336" s="2">
        <v>1.0</v>
      </c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 t="s">
        <v>466</v>
      </c>
      <c r="B337" s="2">
        <v>1.0</v>
      </c>
      <c r="C337" s="2"/>
      <c r="D337" s="2" t="s">
        <v>11</v>
      </c>
      <c r="E337" s="2" t="s">
        <v>465</v>
      </c>
      <c r="F337" s="2">
        <v>1.0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 t="s">
        <v>467</v>
      </c>
      <c r="B338" s="2">
        <v>1.0</v>
      </c>
      <c r="C338" s="2"/>
      <c r="D338" s="2" t="s">
        <v>11</v>
      </c>
      <c r="E338" s="2" t="s">
        <v>465</v>
      </c>
      <c r="F338" s="2">
        <v>1.0</v>
      </c>
      <c r="G338" s="2">
        <f>+SUM(F336:F338)</f>
        <v>3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8" t="s">
        <v>474</v>
      </c>
      <c r="B339" s="9">
        <v>1.0</v>
      </c>
      <c r="C339" s="2"/>
      <c r="D339" s="9" t="s">
        <v>11</v>
      </c>
      <c r="E339" s="15" t="s">
        <v>475</v>
      </c>
      <c r="F339" s="9">
        <v>1.0</v>
      </c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8" t="s">
        <v>476</v>
      </c>
      <c r="B340" s="9">
        <v>1.0</v>
      </c>
      <c r="C340" s="2"/>
      <c r="D340" s="9" t="s">
        <v>11</v>
      </c>
      <c r="E340" s="15" t="s">
        <v>475</v>
      </c>
      <c r="F340" s="9">
        <v>1.0</v>
      </c>
      <c r="G340" s="2">
        <f>+SUM(F339:F340)</f>
        <v>2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 t="s">
        <v>477</v>
      </c>
      <c r="B341" s="2">
        <v>1.0</v>
      </c>
      <c r="C341" s="2"/>
      <c r="D341" s="2" t="s">
        <v>11</v>
      </c>
      <c r="E341" s="2" t="s">
        <v>478</v>
      </c>
      <c r="F341" s="2">
        <v>1.0</v>
      </c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 t="s">
        <v>483</v>
      </c>
      <c r="B342" s="2">
        <v>1.0</v>
      </c>
      <c r="C342" s="16">
        <v>0.1</v>
      </c>
      <c r="D342" s="2" t="s">
        <v>11</v>
      </c>
      <c r="E342" s="2" t="s">
        <v>478</v>
      </c>
      <c r="F342" s="2">
        <v>1.0</v>
      </c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 t="s">
        <v>483</v>
      </c>
      <c r="B343" s="2"/>
      <c r="C343" s="2" t="s">
        <v>167</v>
      </c>
      <c r="D343" s="2" t="s">
        <v>11</v>
      </c>
      <c r="E343" s="2" t="s">
        <v>478</v>
      </c>
      <c r="F343" s="2">
        <v>1.0</v>
      </c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 t="s">
        <v>483</v>
      </c>
      <c r="B344" s="2"/>
      <c r="C344" s="2" t="s">
        <v>69</v>
      </c>
      <c r="D344" s="2" t="s">
        <v>11</v>
      </c>
      <c r="E344" s="2" t="s">
        <v>478</v>
      </c>
      <c r="F344" s="2">
        <v>1.0</v>
      </c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 t="s">
        <v>483</v>
      </c>
      <c r="B345" s="2"/>
      <c r="C345" s="2" t="s">
        <v>48</v>
      </c>
      <c r="D345" s="2" t="s">
        <v>11</v>
      </c>
      <c r="E345" s="2" t="s">
        <v>478</v>
      </c>
      <c r="F345" s="2">
        <v>1.0</v>
      </c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 t="s">
        <v>483</v>
      </c>
      <c r="B346" s="2"/>
      <c r="C346" s="2" t="s">
        <v>484</v>
      </c>
      <c r="D346" s="2" t="s">
        <v>11</v>
      </c>
      <c r="E346" s="2" t="s">
        <v>478</v>
      </c>
      <c r="F346" s="2">
        <v>1.0</v>
      </c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 t="s">
        <v>483</v>
      </c>
      <c r="B347" s="2"/>
      <c r="C347" s="2" t="s">
        <v>154</v>
      </c>
      <c r="D347" s="2" t="s">
        <v>11</v>
      </c>
      <c r="E347" s="2" t="s">
        <v>478</v>
      </c>
      <c r="F347" s="2">
        <v>1.0</v>
      </c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 t="s">
        <v>483</v>
      </c>
      <c r="B348" s="2"/>
      <c r="C348" s="2" t="s">
        <v>182</v>
      </c>
      <c r="D348" s="2" t="s">
        <v>11</v>
      </c>
      <c r="E348" s="2" t="s">
        <v>478</v>
      </c>
      <c r="F348" s="2">
        <v>1.0</v>
      </c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 t="s">
        <v>486</v>
      </c>
      <c r="B349" s="2">
        <v>1.0</v>
      </c>
      <c r="C349" s="2" t="s">
        <v>282</v>
      </c>
      <c r="D349" s="2" t="s">
        <v>11</v>
      </c>
      <c r="E349" s="2" t="s">
        <v>478</v>
      </c>
      <c r="F349" s="2">
        <v>1.0</v>
      </c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 t="s">
        <v>486</v>
      </c>
      <c r="B350" s="2"/>
      <c r="C350" s="2" t="s">
        <v>488</v>
      </c>
      <c r="D350" s="2" t="s">
        <v>11</v>
      </c>
      <c r="E350" s="2" t="s">
        <v>478</v>
      </c>
      <c r="F350" s="2">
        <v>1.0</v>
      </c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 t="s">
        <v>486</v>
      </c>
      <c r="B351" s="2"/>
      <c r="C351" s="2" t="s">
        <v>489</v>
      </c>
      <c r="D351" s="2" t="s">
        <v>11</v>
      </c>
      <c r="E351" s="2" t="s">
        <v>478</v>
      </c>
      <c r="F351" s="2">
        <v>1.0</v>
      </c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 t="s">
        <v>490</v>
      </c>
      <c r="B352" s="2">
        <v>1.0</v>
      </c>
      <c r="C352" s="2" t="s">
        <v>484</v>
      </c>
      <c r="D352" s="2" t="s">
        <v>11</v>
      </c>
      <c r="E352" s="2" t="s">
        <v>478</v>
      </c>
      <c r="F352" s="2">
        <v>1.0</v>
      </c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 t="s">
        <v>490</v>
      </c>
      <c r="B353" s="2"/>
      <c r="C353" s="2"/>
      <c r="D353" s="2" t="s">
        <v>11</v>
      </c>
      <c r="E353" s="2" t="s">
        <v>478</v>
      </c>
      <c r="F353" s="2">
        <v>1.0</v>
      </c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 t="s">
        <v>490</v>
      </c>
      <c r="B354" s="2"/>
      <c r="C354" s="2" t="s">
        <v>491</v>
      </c>
      <c r="D354" s="2" t="s">
        <v>11</v>
      </c>
      <c r="E354" s="2" t="s">
        <v>478</v>
      </c>
      <c r="F354" s="2">
        <v>1.0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 t="s">
        <v>492</v>
      </c>
      <c r="B355" s="2">
        <v>1.0</v>
      </c>
      <c r="C355" s="2" t="s">
        <v>493</v>
      </c>
      <c r="D355" s="2" t="s">
        <v>11</v>
      </c>
      <c r="E355" s="2" t="s">
        <v>478</v>
      </c>
      <c r="F355" s="2">
        <v>1.0</v>
      </c>
      <c r="G355" s="2">
        <f>+SUM(F341:F355)</f>
        <v>15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 t="s">
        <v>497</v>
      </c>
      <c r="B356" s="2">
        <v>1.0</v>
      </c>
      <c r="C356" s="2"/>
      <c r="D356" s="2" t="s">
        <v>11</v>
      </c>
      <c r="E356" s="2" t="s">
        <v>495</v>
      </c>
      <c r="F356" s="2">
        <v>1.0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 t="s">
        <v>501</v>
      </c>
      <c r="B357" s="2">
        <v>1.0</v>
      </c>
      <c r="C357" s="2" t="s">
        <v>502</v>
      </c>
      <c r="D357" s="2" t="s">
        <v>11</v>
      </c>
      <c r="E357" s="2" t="s">
        <v>495</v>
      </c>
      <c r="F357" s="2">
        <v>1.0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 t="s">
        <v>504</v>
      </c>
      <c r="B358" s="2">
        <v>1.0</v>
      </c>
      <c r="C358" s="2"/>
      <c r="D358" s="2" t="s">
        <v>11</v>
      </c>
      <c r="E358" s="2" t="s">
        <v>495</v>
      </c>
      <c r="F358" s="2">
        <v>4.0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 t="s">
        <v>504</v>
      </c>
      <c r="B359" s="2"/>
      <c r="C359" s="2" t="s">
        <v>505</v>
      </c>
      <c r="D359" s="2" t="s">
        <v>11</v>
      </c>
      <c r="E359" s="2" t="s">
        <v>495</v>
      </c>
      <c r="F359" s="2">
        <v>1.0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 t="s">
        <v>504</v>
      </c>
      <c r="B360" s="2"/>
      <c r="C360" s="2" t="s">
        <v>506</v>
      </c>
      <c r="D360" s="2" t="s">
        <v>11</v>
      </c>
      <c r="E360" s="2" t="s">
        <v>495</v>
      </c>
      <c r="F360" s="2">
        <v>1.0</v>
      </c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 t="s">
        <v>511</v>
      </c>
      <c r="B361" s="2">
        <v>1.0</v>
      </c>
      <c r="C361" s="2"/>
      <c r="D361" s="2" t="s">
        <v>11</v>
      </c>
      <c r="E361" s="2" t="s">
        <v>495</v>
      </c>
      <c r="F361" s="2">
        <v>1.0</v>
      </c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 t="s">
        <v>519</v>
      </c>
      <c r="B362" s="2">
        <v>1.0</v>
      </c>
      <c r="C362" s="2"/>
      <c r="D362" s="2" t="s">
        <v>11</v>
      </c>
      <c r="E362" s="2" t="s">
        <v>495</v>
      </c>
      <c r="F362" s="2">
        <v>1.0</v>
      </c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 t="s">
        <v>519</v>
      </c>
      <c r="B363" s="2"/>
      <c r="C363" s="2">
        <v>2018.0</v>
      </c>
      <c r="D363" s="2" t="s">
        <v>11</v>
      </c>
      <c r="E363" s="2" t="s">
        <v>495</v>
      </c>
      <c r="F363" s="2">
        <v>1.0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 t="s">
        <v>535</v>
      </c>
      <c r="B364" s="2">
        <v>1.0</v>
      </c>
      <c r="C364" s="2" t="s">
        <v>536</v>
      </c>
      <c r="D364" s="2" t="s">
        <v>11</v>
      </c>
      <c r="E364" s="2" t="s">
        <v>495</v>
      </c>
      <c r="F364" s="2">
        <v>1.0</v>
      </c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 t="s">
        <v>535</v>
      </c>
      <c r="B365" s="2"/>
      <c r="C365" s="2" t="s">
        <v>537</v>
      </c>
      <c r="D365" s="2" t="s">
        <v>11</v>
      </c>
      <c r="E365" s="2" t="s">
        <v>495</v>
      </c>
      <c r="F365" s="2">
        <v>1.0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 t="s">
        <v>535</v>
      </c>
      <c r="B366" s="2"/>
      <c r="C366" s="2" t="s">
        <v>538</v>
      </c>
      <c r="D366" s="2" t="s">
        <v>11</v>
      </c>
      <c r="E366" s="2" t="s">
        <v>495</v>
      </c>
      <c r="F366" s="2">
        <v>1.0</v>
      </c>
      <c r="G366" s="2">
        <f>+SUM(F356:F366)</f>
        <v>14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 t="s">
        <v>542</v>
      </c>
      <c r="B367" s="2">
        <v>1.0</v>
      </c>
      <c r="C367" s="2" t="s">
        <v>543</v>
      </c>
      <c r="D367" s="2" t="s">
        <v>11</v>
      </c>
      <c r="E367" s="2" t="s">
        <v>544</v>
      </c>
      <c r="F367" s="2">
        <v>1.0</v>
      </c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 t="s">
        <v>542</v>
      </c>
      <c r="B368" s="2"/>
      <c r="C368" s="2" t="s">
        <v>17</v>
      </c>
      <c r="D368" s="2" t="s">
        <v>11</v>
      </c>
      <c r="E368" s="2" t="s">
        <v>544</v>
      </c>
      <c r="F368" s="2">
        <v>1.0</v>
      </c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 t="s">
        <v>545</v>
      </c>
      <c r="B369" s="2">
        <v>1.0</v>
      </c>
      <c r="C369" s="2" t="s">
        <v>10</v>
      </c>
      <c r="D369" s="2" t="s">
        <v>11</v>
      </c>
      <c r="E369" s="2" t="s">
        <v>544</v>
      </c>
      <c r="F369" s="2">
        <v>1.0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 t="s">
        <v>546</v>
      </c>
      <c r="B370" s="2">
        <v>1.0</v>
      </c>
      <c r="C370" s="2" t="s">
        <v>547</v>
      </c>
      <c r="D370" s="2" t="s">
        <v>11</v>
      </c>
      <c r="E370" s="2" t="s">
        <v>544</v>
      </c>
      <c r="F370" s="2">
        <v>1.0</v>
      </c>
      <c r="G370" s="2">
        <f>+SUM(F367:F370)</f>
        <v>4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8" t="s">
        <v>548</v>
      </c>
      <c r="B371" s="9">
        <v>1.0</v>
      </c>
      <c r="C371" s="9" t="s">
        <v>69</v>
      </c>
      <c r="D371" s="9" t="s">
        <v>11</v>
      </c>
      <c r="E371" s="11" t="s">
        <v>549</v>
      </c>
      <c r="F371" s="9">
        <v>1.0</v>
      </c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8" t="s">
        <v>550</v>
      </c>
      <c r="B372" s="9">
        <v>1.0</v>
      </c>
      <c r="C372" s="9"/>
      <c r="D372" s="9" t="s">
        <v>11</v>
      </c>
      <c r="E372" s="11" t="s">
        <v>549</v>
      </c>
      <c r="F372" s="9">
        <v>1.0</v>
      </c>
      <c r="G372" s="2">
        <f>+SUM(F371:F372)</f>
        <v>2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8" t="s">
        <v>551</v>
      </c>
      <c r="B373" s="9">
        <v>1.0</v>
      </c>
      <c r="C373" s="9" t="s">
        <v>552</v>
      </c>
      <c r="D373" s="9" t="s">
        <v>11</v>
      </c>
      <c r="E373" s="9" t="s">
        <v>553</v>
      </c>
      <c r="F373" s="9">
        <v>1.0</v>
      </c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8" t="s">
        <v>554</v>
      </c>
      <c r="B374" s="9">
        <v>1.0</v>
      </c>
      <c r="C374" s="9" t="s">
        <v>10</v>
      </c>
      <c r="D374" s="9" t="s">
        <v>11</v>
      </c>
      <c r="E374" s="9" t="s">
        <v>553</v>
      </c>
      <c r="F374" s="9">
        <v>1.0</v>
      </c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 t="s">
        <v>556</v>
      </c>
      <c r="B375" s="2">
        <v>1.0</v>
      </c>
      <c r="C375" s="2" t="s">
        <v>97</v>
      </c>
      <c r="D375" s="2" t="s">
        <v>11</v>
      </c>
      <c r="E375" s="2" t="s">
        <v>553</v>
      </c>
      <c r="F375" s="2">
        <v>1.0</v>
      </c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 t="s">
        <v>556</v>
      </c>
      <c r="B376" s="2"/>
      <c r="C376" s="2" t="s">
        <v>557</v>
      </c>
      <c r="D376" s="2" t="s">
        <v>11</v>
      </c>
      <c r="E376" s="2" t="s">
        <v>553</v>
      </c>
      <c r="F376" s="2">
        <v>1.0</v>
      </c>
      <c r="G376" s="2">
        <f>+SUM(F373:F376)</f>
        <v>4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 t="s">
        <v>558</v>
      </c>
      <c r="B377" s="2">
        <v>1.0</v>
      </c>
      <c r="C377" s="2"/>
      <c r="D377" s="2" t="s">
        <v>11</v>
      </c>
      <c r="E377" s="2" t="s">
        <v>559</v>
      </c>
      <c r="F377" s="2">
        <v>1.0</v>
      </c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 t="s">
        <v>575</v>
      </c>
      <c r="B378" s="2">
        <v>1.0</v>
      </c>
      <c r="C378" s="2"/>
      <c r="D378" s="2" t="s">
        <v>11</v>
      </c>
      <c r="E378" s="2" t="s">
        <v>559</v>
      </c>
      <c r="F378" s="2">
        <v>2.0</v>
      </c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 t="s">
        <v>577</v>
      </c>
      <c r="B379" s="2">
        <v>1.0</v>
      </c>
      <c r="C379" s="2"/>
      <c r="D379" s="2" t="s">
        <v>11</v>
      </c>
      <c r="E379" s="2" t="s">
        <v>559</v>
      </c>
      <c r="F379" s="2">
        <v>1.0</v>
      </c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 t="s">
        <v>577</v>
      </c>
      <c r="B380" s="2"/>
      <c r="C380" s="7">
        <v>0.0</v>
      </c>
      <c r="D380" s="2" t="s">
        <v>11</v>
      </c>
      <c r="E380" s="2" t="s">
        <v>559</v>
      </c>
      <c r="F380" s="2">
        <v>1.0</v>
      </c>
      <c r="G380" s="2">
        <f>+SUM(F377:F380)</f>
        <v>5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2" t="s">
        <v>595</v>
      </c>
      <c r="B381" s="2">
        <v>1.0</v>
      </c>
      <c r="C381" s="19"/>
      <c r="D381" s="2" t="s">
        <v>11</v>
      </c>
      <c r="E381" s="2" t="s">
        <v>594</v>
      </c>
      <c r="F381" s="2">
        <v>1.0</v>
      </c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 t="s">
        <v>596</v>
      </c>
      <c r="B382" s="2">
        <v>1.0</v>
      </c>
      <c r="C382" s="2"/>
      <c r="D382" s="2" t="s">
        <v>11</v>
      </c>
      <c r="E382" s="2" t="s">
        <v>594</v>
      </c>
      <c r="F382" s="2">
        <v>1.0</v>
      </c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 t="s">
        <v>598</v>
      </c>
      <c r="B383" s="2">
        <v>1.0</v>
      </c>
      <c r="C383" s="2"/>
      <c r="D383" s="2" t="s">
        <v>11</v>
      </c>
      <c r="E383" s="2" t="s">
        <v>594</v>
      </c>
      <c r="F383" s="2">
        <v>1.0</v>
      </c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 t="s">
        <v>599</v>
      </c>
      <c r="B384" s="2">
        <v>1.0</v>
      </c>
      <c r="C384" s="2"/>
      <c r="D384" s="2" t="s">
        <v>11</v>
      </c>
      <c r="E384" s="2" t="s">
        <v>594</v>
      </c>
      <c r="F384" s="2">
        <v>1.0</v>
      </c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 t="s">
        <v>599</v>
      </c>
      <c r="B385" s="2"/>
      <c r="C385" s="2" t="s">
        <v>600</v>
      </c>
      <c r="D385" s="2" t="s">
        <v>11</v>
      </c>
      <c r="E385" s="2" t="s">
        <v>594</v>
      </c>
      <c r="F385" s="2">
        <v>1.0</v>
      </c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 t="s">
        <v>599</v>
      </c>
      <c r="B386" s="2"/>
      <c r="C386" s="2" t="s">
        <v>601</v>
      </c>
      <c r="D386" s="2" t="s">
        <v>11</v>
      </c>
      <c r="E386" s="2" t="s">
        <v>594</v>
      </c>
      <c r="F386" s="2">
        <v>1.0</v>
      </c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 t="s">
        <v>602</v>
      </c>
      <c r="B387" s="2">
        <v>1.0</v>
      </c>
      <c r="C387" s="2"/>
      <c r="D387" s="2" t="s">
        <v>11</v>
      </c>
      <c r="E387" s="2" t="s">
        <v>594</v>
      </c>
      <c r="F387" s="2">
        <v>1.0</v>
      </c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 t="s">
        <v>602</v>
      </c>
      <c r="B388" s="2"/>
      <c r="C388" s="2" t="s">
        <v>603</v>
      </c>
      <c r="D388" s="2" t="s">
        <v>11</v>
      </c>
      <c r="E388" s="2" t="s">
        <v>594</v>
      </c>
      <c r="F388" s="2">
        <v>1.0</v>
      </c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 t="s">
        <v>605</v>
      </c>
      <c r="B389" s="2">
        <v>1.0</v>
      </c>
      <c r="C389" s="2"/>
      <c r="D389" s="2" t="s">
        <v>11</v>
      </c>
      <c r="E389" s="2" t="s">
        <v>594</v>
      </c>
      <c r="F389" s="2">
        <v>1.0</v>
      </c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 t="s">
        <v>606</v>
      </c>
      <c r="B390" s="2">
        <v>1.0</v>
      </c>
      <c r="C390" s="2"/>
      <c r="D390" s="2" t="s">
        <v>11</v>
      </c>
      <c r="E390" s="2" t="s">
        <v>594</v>
      </c>
      <c r="F390" s="2">
        <v>1.0</v>
      </c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 t="s">
        <v>610</v>
      </c>
      <c r="B391" s="2">
        <v>1.0</v>
      </c>
      <c r="C391" s="2"/>
      <c r="D391" s="2" t="s">
        <v>11</v>
      </c>
      <c r="E391" s="2" t="s">
        <v>594</v>
      </c>
      <c r="F391" s="2">
        <v>1.0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 t="s">
        <v>610</v>
      </c>
      <c r="B392" s="2"/>
      <c r="C392" s="2" t="s">
        <v>611</v>
      </c>
      <c r="D392" s="2" t="s">
        <v>11</v>
      </c>
      <c r="E392" s="2" t="s">
        <v>594</v>
      </c>
      <c r="F392" s="2">
        <v>1.0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 t="s">
        <v>610</v>
      </c>
      <c r="B393" s="2"/>
      <c r="C393" s="2">
        <v>1664.0</v>
      </c>
      <c r="D393" s="2" t="s">
        <v>11</v>
      </c>
      <c r="E393" s="2" t="s">
        <v>594</v>
      </c>
      <c r="F393" s="2">
        <v>2.0</v>
      </c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 t="s">
        <v>610</v>
      </c>
      <c r="B394" s="2"/>
      <c r="C394" s="2" t="s">
        <v>612</v>
      </c>
      <c r="D394" s="2" t="s">
        <v>11</v>
      </c>
      <c r="E394" s="2" t="s">
        <v>594</v>
      </c>
      <c r="F394" s="2">
        <v>2.0</v>
      </c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 t="s">
        <v>613</v>
      </c>
      <c r="B395" s="2">
        <v>1.0</v>
      </c>
      <c r="C395" s="2"/>
      <c r="D395" s="2" t="s">
        <v>11</v>
      </c>
      <c r="E395" s="2" t="s">
        <v>594</v>
      </c>
      <c r="F395" s="2">
        <v>1.0</v>
      </c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 t="s">
        <v>10</v>
      </c>
      <c r="B396" s="2">
        <v>1.0</v>
      </c>
      <c r="C396" s="2"/>
      <c r="D396" s="2" t="s">
        <v>11</v>
      </c>
      <c r="E396" s="2" t="s">
        <v>594</v>
      </c>
      <c r="F396" s="2">
        <v>1.0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 t="s">
        <v>614</v>
      </c>
      <c r="B397" s="2">
        <v>1.0</v>
      </c>
      <c r="C397" s="2" t="s">
        <v>615</v>
      </c>
      <c r="D397" s="2" t="s">
        <v>11</v>
      </c>
      <c r="E397" s="2" t="s">
        <v>594</v>
      </c>
      <c r="F397" s="2">
        <v>1.0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 t="s">
        <v>614</v>
      </c>
      <c r="B398" s="2"/>
      <c r="C398" s="2" t="s">
        <v>115</v>
      </c>
      <c r="D398" s="2" t="s">
        <v>11</v>
      </c>
      <c r="E398" s="2" t="s">
        <v>594</v>
      </c>
      <c r="F398" s="2">
        <v>1.0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 t="s">
        <v>619</v>
      </c>
      <c r="B399" s="2">
        <v>1.0</v>
      </c>
      <c r="C399" s="2"/>
      <c r="D399" s="2" t="s">
        <v>11</v>
      </c>
      <c r="E399" s="2" t="s">
        <v>594</v>
      </c>
      <c r="F399" s="2">
        <v>1.0</v>
      </c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 t="s">
        <v>620</v>
      </c>
      <c r="B400" s="2">
        <v>1.0</v>
      </c>
      <c r="C400" s="2" t="s">
        <v>10</v>
      </c>
      <c r="D400" s="2" t="s">
        <v>11</v>
      </c>
      <c r="E400" s="2" t="s">
        <v>594</v>
      </c>
      <c r="F400" s="2">
        <v>1.0</v>
      </c>
      <c r="G400" s="2">
        <f>SUM(F381:F400)</f>
        <v>22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 t="s">
        <v>632</v>
      </c>
      <c r="B401" s="2">
        <v>1.0</v>
      </c>
      <c r="C401" s="2"/>
      <c r="D401" s="2" t="s">
        <v>11</v>
      </c>
      <c r="E401" s="2" t="s">
        <v>631</v>
      </c>
      <c r="F401" s="2">
        <v>1.0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 t="s">
        <v>632</v>
      </c>
      <c r="B402" s="2"/>
      <c r="C402" s="2" t="s">
        <v>633</v>
      </c>
      <c r="D402" s="2" t="s">
        <v>11</v>
      </c>
      <c r="E402" s="2" t="s">
        <v>631</v>
      </c>
      <c r="F402" s="2">
        <v>1.0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 t="s">
        <v>632</v>
      </c>
      <c r="B403" s="2"/>
      <c r="C403" s="2" t="s">
        <v>634</v>
      </c>
      <c r="D403" s="2" t="s">
        <v>11</v>
      </c>
      <c r="E403" s="2" t="s">
        <v>631</v>
      </c>
      <c r="F403" s="2">
        <v>1.0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 t="s">
        <v>632</v>
      </c>
      <c r="B404" s="2"/>
      <c r="C404" s="2" t="s">
        <v>282</v>
      </c>
      <c r="D404" s="2" t="s">
        <v>11</v>
      </c>
      <c r="E404" s="2" t="s">
        <v>631</v>
      </c>
      <c r="F404" s="2">
        <v>1.0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 t="s">
        <v>632</v>
      </c>
      <c r="B405" s="2"/>
      <c r="C405" s="2" t="s">
        <v>48</v>
      </c>
      <c r="D405" s="2" t="s">
        <v>11</v>
      </c>
      <c r="E405" s="2" t="s">
        <v>631</v>
      </c>
      <c r="F405" s="2">
        <v>1.0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 t="s">
        <v>632</v>
      </c>
      <c r="B406" s="2"/>
      <c r="C406" s="2" t="s">
        <v>635</v>
      </c>
      <c r="D406" s="2" t="s">
        <v>11</v>
      </c>
      <c r="E406" s="2" t="s">
        <v>631</v>
      </c>
      <c r="F406" s="2">
        <v>1.0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 t="s">
        <v>632</v>
      </c>
      <c r="B407" s="2"/>
      <c r="C407" s="2" t="s">
        <v>115</v>
      </c>
      <c r="D407" s="2" t="s">
        <v>11</v>
      </c>
      <c r="E407" s="2" t="s">
        <v>631</v>
      </c>
      <c r="F407" s="2">
        <v>1.0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 t="s">
        <v>632</v>
      </c>
      <c r="B408" s="2"/>
      <c r="C408" s="2" t="s">
        <v>637</v>
      </c>
      <c r="D408" s="2" t="s">
        <v>11</v>
      </c>
      <c r="E408" s="2" t="s">
        <v>631</v>
      </c>
      <c r="F408" s="2">
        <v>1.0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 t="s">
        <v>638</v>
      </c>
      <c r="B409" s="2">
        <v>1.0</v>
      </c>
      <c r="C409" s="2"/>
      <c r="D409" s="2" t="s">
        <v>11</v>
      </c>
      <c r="E409" s="2" t="s">
        <v>631</v>
      </c>
      <c r="F409" s="2">
        <v>2.0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 t="s">
        <v>640</v>
      </c>
      <c r="B410" s="2">
        <v>1.0</v>
      </c>
      <c r="C410" s="2" t="s">
        <v>642</v>
      </c>
      <c r="D410" s="2" t="s">
        <v>11</v>
      </c>
      <c r="E410" s="2" t="s">
        <v>631</v>
      </c>
      <c r="F410" s="2">
        <v>1.0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 t="s">
        <v>640</v>
      </c>
      <c r="B411" s="2"/>
      <c r="C411" s="2" t="s">
        <v>643</v>
      </c>
      <c r="D411" s="2" t="s">
        <v>11</v>
      </c>
      <c r="E411" s="2" t="s">
        <v>631</v>
      </c>
      <c r="F411" s="2">
        <v>1.0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 t="s">
        <v>640</v>
      </c>
      <c r="B412" s="2"/>
      <c r="C412" s="2" t="s">
        <v>644</v>
      </c>
      <c r="D412" s="2" t="s">
        <v>11</v>
      </c>
      <c r="E412" s="2" t="s">
        <v>631</v>
      </c>
      <c r="F412" s="2">
        <v>1.0</v>
      </c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 t="s">
        <v>647</v>
      </c>
      <c r="B413" s="2">
        <v>1.0</v>
      </c>
      <c r="C413" s="2"/>
      <c r="D413" s="2" t="s">
        <v>11</v>
      </c>
      <c r="E413" s="2" t="s">
        <v>631</v>
      </c>
      <c r="F413" s="2">
        <v>1.0</v>
      </c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 t="s">
        <v>321</v>
      </c>
      <c r="B414" s="2">
        <v>1.0</v>
      </c>
      <c r="C414" s="2"/>
      <c r="D414" s="2" t="s">
        <v>11</v>
      </c>
      <c r="E414" s="2" t="s">
        <v>631</v>
      </c>
      <c r="F414" s="2">
        <v>1.0</v>
      </c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 t="s">
        <v>321</v>
      </c>
      <c r="B415" s="2"/>
      <c r="C415" s="2" t="s">
        <v>25</v>
      </c>
      <c r="D415" s="2" t="s">
        <v>11</v>
      </c>
      <c r="E415" s="2" t="s">
        <v>631</v>
      </c>
      <c r="F415" s="2">
        <v>2.0</v>
      </c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 t="s">
        <v>649</v>
      </c>
      <c r="B416" s="2">
        <v>1.0</v>
      </c>
      <c r="C416" s="2"/>
      <c r="D416" s="2" t="s">
        <v>11</v>
      </c>
      <c r="E416" s="2" t="s">
        <v>631</v>
      </c>
      <c r="F416" s="2">
        <v>1.0</v>
      </c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 t="s">
        <v>651</v>
      </c>
      <c r="B417" s="2">
        <v>1.0</v>
      </c>
      <c r="C417" s="2"/>
      <c r="D417" s="2" t="s">
        <v>11</v>
      </c>
      <c r="E417" s="2" t="s">
        <v>631</v>
      </c>
      <c r="F417" s="2">
        <v>1.0</v>
      </c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 t="s">
        <v>654</v>
      </c>
      <c r="B418" s="2">
        <v>1.0</v>
      </c>
      <c r="C418" s="2"/>
      <c r="D418" s="2" t="s">
        <v>11</v>
      </c>
      <c r="E418" s="2" t="s">
        <v>631</v>
      </c>
      <c r="F418" s="2">
        <v>1.0</v>
      </c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 t="s">
        <v>655</v>
      </c>
      <c r="B419" s="2">
        <v>1.0</v>
      </c>
      <c r="C419" s="2"/>
      <c r="D419" s="2" t="s">
        <v>11</v>
      </c>
      <c r="E419" s="2" t="s">
        <v>631</v>
      </c>
      <c r="F419" s="2">
        <v>1.0</v>
      </c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 t="s">
        <v>656</v>
      </c>
      <c r="B420" s="2">
        <v>1.0</v>
      </c>
      <c r="C420" s="2"/>
      <c r="D420" s="2" t="s">
        <v>11</v>
      </c>
      <c r="E420" s="2" t="s">
        <v>631</v>
      </c>
      <c r="F420" s="2">
        <v>1.0</v>
      </c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 t="s">
        <v>656</v>
      </c>
      <c r="B421" s="2"/>
      <c r="C421" s="2" t="s">
        <v>609</v>
      </c>
      <c r="D421" s="2" t="s">
        <v>11</v>
      </c>
      <c r="E421" s="2" t="s">
        <v>631</v>
      </c>
      <c r="F421" s="2">
        <v>1.0</v>
      </c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 t="s">
        <v>656</v>
      </c>
      <c r="B422" s="2"/>
      <c r="C422" s="2" t="s">
        <v>92</v>
      </c>
      <c r="D422" s="2" t="s">
        <v>11</v>
      </c>
      <c r="E422" s="2" t="s">
        <v>631</v>
      </c>
      <c r="F422" s="2">
        <v>1.0</v>
      </c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 t="s">
        <v>657</v>
      </c>
      <c r="B423" s="2">
        <v>1.0</v>
      </c>
      <c r="C423" s="2"/>
      <c r="D423" s="2" t="s">
        <v>11</v>
      </c>
      <c r="E423" s="2" t="s">
        <v>631</v>
      </c>
      <c r="F423" s="2">
        <v>2.0</v>
      </c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 t="s">
        <v>659</v>
      </c>
      <c r="B424" s="2">
        <v>1.0</v>
      </c>
      <c r="C424" s="2"/>
      <c r="D424" s="2" t="s">
        <v>11</v>
      </c>
      <c r="E424" s="2" t="s">
        <v>631</v>
      </c>
      <c r="F424" s="2">
        <v>1.0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 t="s">
        <v>661</v>
      </c>
      <c r="B425" s="2">
        <v>1.0</v>
      </c>
      <c r="C425" s="2" t="s">
        <v>14</v>
      </c>
      <c r="D425" s="2" t="s">
        <v>11</v>
      </c>
      <c r="E425" s="2" t="s">
        <v>631</v>
      </c>
      <c r="F425" s="2">
        <v>1.0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 t="s">
        <v>661</v>
      </c>
      <c r="B426" s="2"/>
      <c r="C426" s="2" t="s">
        <v>662</v>
      </c>
      <c r="D426" s="2" t="s">
        <v>11</v>
      </c>
      <c r="E426" s="2" t="s">
        <v>631</v>
      </c>
      <c r="F426" s="2">
        <v>1.0</v>
      </c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 t="s">
        <v>664</v>
      </c>
      <c r="B427" s="2">
        <v>1.0</v>
      </c>
      <c r="C427" s="2" t="s">
        <v>95</v>
      </c>
      <c r="D427" s="2" t="s">
        <v>11</v>
      </c>
      <c r="E427" s="2" t="s">
        <v>631</v>
      </c>
      <c r="F427" s="2">
        <v>1.0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 t="s">
        <v>664</v>
      </c>
      <c r="B428" s="2"/>
      <c r="C428" s="2" t="s">
        <v>488</v>
      </c>
      <c r="D428" s="2" t="s">
        <v>11</v>
      </c>
      <c r="E428" s="2" t="s">
        <v>631</v>
      </c>
      <c r="F428" s="2">
        <v>1.0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 t="s">
        <v>664</v>
      </c>
      <c r="B429" s="2"/>
      <c r="C429" s="2" t="s">
        <v>665</v>
      </c>
      <c r="D429" s="2" t="s">
        <v>11</v>
      </c>
      <c r="E429" s="2" t="s">
        <v>631</v>
      </c>
      <c r="F429" s="2">
        <v>1.0</v>
      </c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 t="s">
        <v>664</v>
      </c>
      <c r="B430" s="2"/>
      <c r="C430" s="2" t="s">
        <v>666</v>
      </c>
      <c r="D430" s="2" t="s">
        <v>11</v>
      </c>
      <c r="E430" s="2" t="s">
        <v>631</v>
      </c>
      <c r="F430" s="2">
        <v>1.0</v>
      </c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 t="s">
        <v>664</v>
      </c>
      <c r="B431" s="2"/>
      <c r="C431" s="2" t="s">
        <v>667</v>
      </c>
      <c r="D431" s="2" t="s">
        <v>11</v>
      </c>
      <c r="E431" s="2" t="s">
        <v>631</v>
      </c>
      <c r="F431" s="2">
        <v>1.0</v>
      </c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 t="s">
        <v>664</v>
      </c>
      <c r="B432" s="2"/>
      <c r="C432" s="2" t="s">
        <v>25</v>
      </c>
      <c r="D432" s="2" t="s">
        <v>11</v>
      </c>
      <c r="E432" s="2" t="s">
        <v>631</v>
      </c>
      <c r="F432" s="2">
        <v>1.0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 t="s">
        <v>668</v>
      </c>
      <c r="B433" s="2">
        <v>1.0</v>
      </c>
      <c r="C433" s="2"/>
      <c r="D433" s="2" t="s">
        <v>11</v>
      </c>
      <c r="E433" s="2" t="s">
        <v>631</v>
      </c>
      <c r="F433" s="2">
        <v>1.0</v>
      </c>
      <c r="G433" s="2">
        <f>SUM(F401:F433)</f>
        <v>36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8" t="s">
        <v>670</v>
      </c>
      <c r="B434" s="9">
        <v>1.0</v>
      </c>
      <c r="C434" s="2"/>
      <c r="D434" s="9" t="s">
        <v>11</v>
      </c>
      <c r="E434" s="9" t="s">
        <v>671</v>
      </c>
      <c r="F434" s="9">
        <v>1.0</v>
      </c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8" t="s">
        <v>672</v>
      </c>
      <c r="B435" s="9">
        <v>1.0</v>
      </c>
      <c r="C435" s="2"/>
      <c r="D435" s="9" t="s">
        <v>11</v>
      </c>
      <c r="E435" s="9" t="s">
        <v>671</v>
      </c>
      <c r="F435" s="9">
        <v>1.0</v>
      </c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 t="s">
        <v>673</v>
      </c>
      <c r="B436" s="2">
        <v>1.0</v>
      </c>
      <c r="C436" s="2"/>
      <c r="D436" s="2" t="s">
        <v>11</v>
      </c>
      <c r="E436" s="2" t="s">
        <v>671</v>
      </c>
      <c r="F436" s="2">
        <v>1.0</v>
      </c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 t="s">
        <v>674</v>
      </c>
      <c r="B437" s="2">
        <v>1.0</v>
      </c>
      <c r="C437" s="2"/>
      <c r="D437" s="2" t="s">
        <v>11</v>
      </c>
      <c r="E437" s="2" t="s">
        <v>671</v>
      </c>
      <c r="F437" s="2">
        <v>1.0</v>
      </c>
      <c r="G437" s="2">
        <f>SUM(F434:F437)</f>
        <v>4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3" t="s">
        <v>675</v>
      </c>
      <c r="B438" s="2">
        <v>1.0</v>
      </c>
      <c r="C438" s="2"/>
      <c r="D438" s="2" t="s">
        <v>11</v>
      </c>
      <c r="E438" s="2" t="s">
        <v>676</v>
      </c>
      <c r="F438" s="2">
        <v>1.0</v>
      </c>
      <c r="G438" s="2">
        <v>1.0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 t="s">
        <v>677</v>
      </c>
      <c r="B439" s="2">
        <v>1.0</v>
      </c>
      <c r="C439" s="2" t="s">
        <v>386</v>
      </c>
      <c r="D439" s="2" t="s">
        <v>11</v>
      </c>
      <c r="E439" s="2" t="s">
        <v>678</v>
      </c>
      <c r="F439" s="2">
        <v>1.0</v>
      </c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 t="s">
        <v>679</v>
      </c>
      <c r="B440" s="2">
        <v>1.0</v>
      </c>
      <c r="C440" s="2"/>
      <c r="D440" s="2" t="s">
        <v>11</v>
      </c>
      <c r="E440" s="2" t="s">
        <v>678</v>
      </c>
      <c r="F440" s="2">
        <v>2.0</v>
      </c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 t="s">
        <v>680</v>
      </c>
      <c r="B441" s="2">
        <v>1.0</v>
      </c>
      <c r="C441" s="2"/>
      <c r="D441" s="2" t="s">
        <v>11</v>
      </c>
      <c r="E441" s="2" t="s">
        <v>678</v>
      </c>
      <c r="F441" s="2">
        <v>1.0</v>
      </c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 t="s">
        <v>681</v>
      </c>
      <c r="B442" s="2">
        <v>1.0</v>
      </c>
      <c r="C442" s="2" t="s">
        <v>682</v>
      </c>
      <c r="D442" s="2" t="s">
        <v>11</v>
      </c>
      <c r="E442" s="2" t="s">
        <v>678</v>
      </c>
      <c r="F442" s="2">
        <v>1.0</v>
      </c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 t="s">
        <v>684</v>
      </c>
      <c r="B443" s="2">
        <v>1.0</v>
      </c>
      <c r="C443" s="2" t="s">
        <v>685</v>
      </c>
      <c r="D443" s="2" t="s">
        <v>11</v>
      </c>
      <c r="E443" s="2" t="s">
        <v>678</v>
      </c>
      <c r="F443" s="2">
        <v>1.0</v>
      </c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 t="s">
        <v>686</v>
      </c>
      <c r="B444" s="2">
        <v>1.0</v>
      </c>
      <c r="C444" s="2"/>
      <c r="D444" s="2" t="s">
        <v>11</v>
      </c>
      <c r="E444" s="2" t="s">
        <v>678</v>
      </c>
      <c r="F444" s="2">
        <v>1.0</v>
      </c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 t="s">
        <v>687</v>
      </c>
      <c r="B445" s="2">
        <v>1.0</v>
      </c>
      <c r="C445" s="2"/>
      <c r="D445" s="2" t="s">
        <v>11</v>
      </c>
      <c r="E445" s="2" t="s">
        <v>678</v>
      </c>
      <c r="F445" s="2">
        <v>1.0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 t="s">
        <v>688</v>
      </c>
      <c r="B446" s="2">
        <v>1.0</v>
      </c>
      <c r="C446" s="2" t="s">
        <v>156</v>
      </c>
      <c r="D446" s="2" t="s">
        <v>11</v>
      </c>
      <c r="E446" s="2" t="s">
        <v>678</v>
      </c>
      <c r="F446" s="2">
        <v>1.0</v>
      </c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 t="s">
        <v>688</v>
      </c>
      <c r="B447" s="2"/>
      <c r="C447" s="2" t="s">
        <v>689</v>
      </c>
      <c r="D447" s="2" t="s">
        <v>11</v>
      </c>
      <c r="E447" s="2" t="s">
        <v>678</v>
      </c>
      <c r="F447" s="2">
        <v>2.0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 t="s">
        <v>690</v>
      </c>
      <c r="B448" s="2">
        <v>1.0</v>
      </c>
      <c r="C448" s="2" t="s">
        <v>691</v>
      </c>
      <c r="D448" s="2" t="s">
        <v>11</v>
      </c>
      <c r="E448" s="2" t="s">
        <v>678</v>
      </c>
      <c r="F448" s="2">
        <v>1.0</v>
      </c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 t="s">
        <v>692</v>
      </c>
      <c r="B449" s="2">
        <v>1.0</v>
      </c>
      <c r="C449" s="2"/>
      <c r="D449" s="2" t="s">
        <v>11</v>
      </c>
      <c r="E449" s="2" t="s">
        <v>678</v>
      </c>
      <c r="F449" s="2">
        <v>1.0</v>
      </c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 t="s">
        <v>693</v>
      </c>
      <c r="B450" s="2">
        <v>1.0</v>
      </c>
      <c r="C450" s="2"/>
      <c r="D450" s="2" t="s">
        <v>11</v>
      </c>
      <c r="E450" s="2" t="s">
        <v>678</v>
      </c>
      <c r="F450" s="2">
        <v>2.0</v>
      </c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 t="s">
        <v>694</v>
      </c>
      <c r="B451" s="2">
        <v>1.0</v>
      </c>
      <c r="C451" s="2"/>
      <c r="D451" s="2" t="s">
        <v>11</v>
      </c>
      <c r="E451" s="2" t="s">
        <v>678</v>
      </c>
      <c r="F451" s="2">
        <v>1.0</v>
      </c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 t="s">
        <v>695</v>
      </c>
      <c r="B452" s="2">
        <v>1.0</v>
      </c>
      <c r="C452" s="2"/>
      <c r="D452" s="2" t="s">
        <v>11</v>
      </c>
      <c r="E452" s="2" t="s">
        <v>678</v>
      </c>
      <c r="F452" s="2">
        <v>1.0</v>
      </c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 t="s">
        <v>696</v>
      </c>
      <c r="B453" s="2">
        <v>1.0</v>
      </c>
      <c r="C453" s="2" t="s">
        <v>697</v>
      </c>
      <c r="D453" s="2" t="s">
        <v>11</v>
      </c>
      <c r="E453" s="2" t="s">
        <v>678</v>
      </c>
      <c r="F453" s="2">
        <v>1.0</v>
      </c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 t="s">
        <v>698</v>
      </c>
      <c r="B454" s="2">
        <v>1.0</v>
      </c>
      <c r="C454" s="2"/>
      <c r="D454" s="2" t="s">
        <v>11</v>
      </c>
      <c r="E454" s="2" t="s">
        <v>678</v>
      </c>
      <c r="F454" s="2">
        <v>1.0</v>
      </c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 t="s">
        <v>699</v>
      </c>
      <c r="B455" s="2">
        <v>1.0</v>
      </c>
      <c r="C455" s="2"/>
      <c r="D455" s="2" t="s">
        <v>11</v>
      </c>
      <c r="E455" s="2" t="s">
        <v>678</v>
      </c>
      <c r="F455" s="2">
        <v>1.0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 t="s">
        <v>700</v>
      </c>
      <c r="B456" s="2">
        <v>1.0</v>
      </c>
      <c r="C456" s="2" t="s">
        <v>17</v>
      </c>
      <c r="D456" s="2" t="s">
        <v>11</v>
      </c>
      <c r="E456" s="2" t="s">
        <v>678</v>
      </c>
      <c r="F456" s="2">
        <v>1.0</v>
      </c>
      <c r="G456" s="2">
        <f>SUM(F439:F456)</f>
        <v>21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 t="s">
        <v>701</v>
      </c>
      <c r="B457" s="2">
        <v>1.0</v>
      </c>
      <c r="C457" s="2"/>
      <c r="D457" s="2" t="s">
        <v>11</v>
      </c>
      <c r="E457" s="2" t="s">
        <v>702</v>
      </c>
      <c r="F457" s="2">
        <v>2.0</v>
      </c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 t="s">
        <v>701</v>
      </c>
      <c r="B458" s="2"/>
      <c r="C458" s="2" t="s">
        <v>703</v>
      </c>
      <c r="D458" s="2" t="s">
        <v>11</v>
      </c>
      <c r="E458" s="2" t="s">
        <v>702</v>
      </c>
      <c r="F458" s="2">
        <v>1.0</v>
      </c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 t="s">
        <v>704</v>
      </c>
      <c r="B459" s="2">
        <v>1.0</v>
      </c>
      <c r="C459" s="2"/>
      <c r="D459" s="2" t="s">
        <v>11</v>
      </c>
      <c r="E459" s="2" t="s">
        <v>702</v>
      </c>
      <c r="F459" s="2">
        <v>1.0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 t="s">
        <v>705</v>
      </c>
      <c r="B460" s="2">
        <v>1.0</v>
      </c>
      <c r="C460" s="2"/>
      <c r="D460" s="2" t="s">
        <v>11</v>
      </c>
      <c r="E460" s="2" t="s">
        <v>702</v>
      </c>
      <c r="F460" s="2">
        <v>1.0</v>
      </c>
      <c r="G460" s="2">
        <f>SUM(F457:F460)</f>
        <v>5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 t="s">
        <v>706</v>
      </c>
      <c r="B461" s="2">
        <v>1.0</v>
      </c>
      <c r="C461" s="2" t="s">
        <v>709</v>
      </c>
      <c r="D461" s="2" t="s">
        <v>11</v>
      </c>
      <c r="E461" s="2" t="s">
        <v>708</v>
      </c>
      <c r="F461" s="2">
        <v>1.0</v>
      </c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 t="s">
        <v>718</v>
      </c>
      <c r="B462" s="2">
        <v>1.0</v>
      </c>
      <c r="C462" s="2"/>
      <c r="D462" s="2" t="s">
        <v>11</v>
      </c>
      <c r="E462" s="2" t="s">
        <v>708</v>
      </c>
      <c r="F462" s="2">
        <v>1.0</v>
      </c>
      <c r="G462" s="2">
        <f>SUM(F461:F462)</f>
        <v>2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 t="s">
        <v>728</v>
      </c>
      <c r="B463" s="2">
        <v>1.0</v>
      </c>
      <c r="C463" s="2" t="s">
        <v>729</v>
      </c>
      <c r="D463" s="2" t="s">
        <v>11</v>
      </c>
      <c r="E463" s="2" t="s">
        <v>730</v>
      </c>
      <c r="F463" s="2">
        <v>1.0</v>
      </c>
      <c r="G463" s="2">
        <v>1.0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 t="s">
        <v>727</v>
      </c>
      <c r="B464" s="2">
        <v>1.0</v>
      </c>
      <c r="C464" s="2"/>
      <c r="D464" s="2" t="s">
        <v>11</v>
      </c>
      <c r="E464" s="2" t="s">
        <v>726</v>
      </c>
      <c r="F464" s="2">
        <v>2.0</v>
      </c>
      <c r="G464" s="2">
        <f>SUM(F464)</f>
        <v>2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 t="s">
        <v>733</v>
      </c>
      <c r="B465" s="2">
        <v>1.0</v>
      </c>
      <c r="C465" s="2" t="s">
        <v>244</v>
      </c>
      <c r="D465" s="2" t="s">
        <v>11</v>
      </c>
      <c r="E465" s="2" t="s">
        <v>732</v>
      </c>
      <c r="F465" s="2">
        <v>1.0</v>
      </c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 t="s">
        <v>417</v>
      </c>
      <c r="B466" s="2">
        <v>1.0</v>
      </c>
      <c r="C466" s="2"/>
      <c r="D466" s="2" t="s">
        <v>11</v>
      </c>
      <c r="E466" s="2" t="s">
        <v>732</v>
      </c>
      <c r="F466" s="2">
        <v>1.0</v>
      </c>
      <c r="G466" s="2">
        <f>+F465+F466</f>
        <v>2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 t="s">
        <v>406</v>
      </c>
      <c r="B467" s="2">
        <v>1.0</v>
      </c>
      <c r="C467" s="2"/>
      <c r="D467" s="2" t="s">
        <v>11</v>
      </c>
      <c r="E467" s="2" t="s">
        <v>750</v>
      </c>
      <c r="F467" s="2">
        <v>1.0</v>
      </c>
      <c r="G467" s="2">
        <v>1.0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 t="s">
        <v>755</v>
      </c>
      <c r="B468" s="2">
        <v>1.0</v>
      </c>
      <c r="C468" s="2" t="s">
        <v>756</v>
      </c>
      <c r="D468" s="2" t="s">
        <v>11</v>
      </c>
      <c r="E468" s="2" t="s">
        <v>757</v>
      </c>
      <c r="F468" s="2">
        <v>1.0</v>
      </c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 t="s">
        <v>755</v>
      </c>
      <c r="B469" s="2"/>
      <c r="C469" s="2" t="s">
        <v>488</v>
      </c>
      <c r="D469" s="2" t="s">
        <v>11</v>
      </c>
      <c r="E469" s="2" t="s">
        <v>757</v>
      </c>
      <c r="F469" s="2">
        <v>1.0</v>
      </c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 t="s">
        <v>758</v>
      </c>
      <c r="B470" s="2">
        <v>1.0</v>
      </c>
      <c r="C470" s="2"/>
      <c r="D470" s="2" t="s">
        <v>11</v>
      </c>
      <c r="E470" s="2" t="s">
        <v>757</v>
      </c>
      <c r="F470" s="2">
        <v>1.0</v>
      </c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 t="s">
        <v>759</v>
      </c>
      <c r="B471" s="2">
        <v>1.0</v>
      </c>
      <c r="C471" s="2" t="s">
        <v>39</v>
      </c>
      <c r="D471" s="2" t="s">
        <v>11</v>
      </c>
      <c r="E471" s="2" t="s">
        <v>757</v>
      </c>
      <c r="F471" s="2">
        <v>2.0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 t="s">
        <v>759</v>
      </c>
      <c r="B472" s="2"/>
      <c r="C472" s="2" t="s">
        <v>31</v>
      </c>
      <c r="D472" s="2" t="s">
        <v>11</v>
      </c>
      <c r="E472" s="2" t="s">
        <v>757</v>
      </c>
      <c r="F472" s="2">
        <v>1.0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 t="s">
        <v>760</v>
      </c>
      <c r="B473" s="2">
        <v>1.0</v>
      </c>
      <c r="C473" s="2"/>
      <c r="D473" s="2" t="s">
        <v>11</v>
      </c>
      <c r="E473" s="2" t="s">
        <v>757</v>
      </c>
      <c r="F473" s="2">
        <v>1.0</v>
      </c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 t="s">
        <v>761</v>
      </c>
      <c r="B474" s="2">
        <v>1.0</v>
      </c>
      <c r="C474" s="2"/>
      <c r="D474" s="2" t="s">
        <v>11</v>
      </c>
      <c r="E474" s="2" t="s">
        <v>757</v>
      </c>
      <c r="F474" s="2">
        <v>1.0</v>
      </c>
      <c r="G474" s="2">
        <f>SUM(F468:F474)</f>
        <v>8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 t="s">
        <v>766</v>
      </c>
      <c r="B475" s="2">
        <v>1.0</v>
      </c>
      <c r="C475" s="2"/>
      <c r="D475" s="2" t="s">
        <v>11</v>
      </c>
      <c r="E475" s="2" t="s">
        <v>763</v>
      </c>
      <c r="F475" s="2">
        <v>1.0</v>
      </c>
      <c r="G475" s="2">
        <f>F475</f>
        <v>1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 t="s">
        <v>768</v>
      </c>
      <c r="B476" s="2">
        <v>1.0</v>
      </c>
      <c r="C476" s="2"/>
      <c r="D476" s="2" t="s">
        <v>11</v>
      </c>
      <c r="E476" s="2" t="s">
        <v>769</v>
      </c>
      <c r="F476" s="2">
        <v>2.0</v>
      </c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8" t="s">
        <v>770</v>
      </c>
      <c r="B477" s="9">
        <v>1.0</v>
      </c>
      <c r="C477" s="9" t="s">
        <v>315</v>
      </c>
      <c r="D477" s="9" t="s">
        <v>11</v>
      </c>
      <c r="E477" s="9" t="s">
        <v>769</v>
      </c>
      <c r="F477" s="9">
        <v>1.0</v>
      </c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 t="s">
        <v>771</v>
      </c>
      <c r="B478" s="2">
        <v>1.0</v>
      </c>
      <c r="C478" s="2"/>
      <c r="D478" s="2" t="s">
        <v>11</v>
      </c>
      <c r="E478" s="2" t="s">
        <v>769</v>
      </c>
      <c r="F478" s="2">
        <v>2.0</v>
      </c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 t="s">
        <v>772</v>
      </c>
      <c r="B479" s="2">
        <v>1.0</v>
      </c>
      <c r="C479" s="2"/>
      <c r="D479" s="2" t="s">
        <v>11</v>
      </c>
      <c r="E479" s="2" t="s">
        <v>769</v>
      </c>
      <c r="F479" s="2">
        <v>1.0</v>
      </c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8" t="s">
        <v>773</v>
      </c>
      <c r="B480" s="9">
        <v>1.0</v>
      </c>
      <c r="C480" s="2"/>
      <c r="D480" s="9" t="s">
        <v>11</v>
      </c>
      <c r="E480" s="9" t="s">
        <v>769</v>
      </c>
      <c r="F480" s="9">
        <v>1.0</v>
      </c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 t="s">
        <v>774</v>
      </c>
      <c r="B481" s="2">
        <v>1.0</v>
      </c>
      <c r="C481" s="2"/>
      <c r="D481" s="2" t="s">
        <v>11</v>
      </c>
      <c r="E481" s="2" t="s">
        <v>769</v>
      </c>
      <c r="F481" s="2">
        <v>1.0</v>
      </c>
      <c r="G481" s="2">
        <f>SUM(F476:F481)</f>
        <v>8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 t="s">
        <v>778</v>
      </c>
      <c r="B482" s="2">
        <v>1.0</v>
      </c>
      <c r="C482" s="2"/>
      <c r="D482" s="2" t="s">
        <v>11</v>
      </c>
      <c r="E482" s="2" t="s">
        <v>779</v>
      </c>
      <c r="F482" s="2">
        <v>1.0</v>
      </c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 t="s">
        <v>780</v>
      </c>
      <c r="B483" s="2">
        <v>1.0</v>
      </c>
      <c r="C483" s="2"/>
      <c r="D483" s="2" t="s">
        <v>11</v>
      </c>
      <c r="E483" s="2" t="s">
        <v>779</v>
      </c>
      <c r="F483" s="2">
        <v>1.0</v>
      </c>
      <c r="G483" s="2">
        <f>SUM(F482:F483)</f>
        <v>2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8" t="s">
        <v>781</v>
      </c>
      <c r="B484" s="9">
        <v>1.0</v>
      </c>
      <c r="C484" s="2"/>
      <c r="D484" s="9" t="s">
        <v>11</v>
      </c>
      <c r="E484" s="11" t="s">
        <v>782</v>
      </c>
      <c r="F484" s="9">
        <v>1.0</v>
      </c>
      <c r="G484" s="9">
        <v>1.0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 t="s">
        <v>787</v>
      </c>
      <c r="B485" s="2">
        <v>1.0</v>
      </c>
      <c r="C485" s="2"/>
      <c r="D485" s="2" t="s">
        <v>11</v>
      </c>
      <c r="E485" s="2" t="s">
        <v>788</v>
      </c>
      <c r="F485" s="2">
        <v>1.0</v>
      </c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 t="s">
        <v>789</v>
      </c>
      <c r="B486" s="2">
        <v>1.0</v>
      </c>
      <c r="C486" s="2"/>
      <c r="D486" s="2" t="s">
        <v>11</v>
      </c>
      <c r="E486" s="2" t="s">
        <v>788</v>
      </c>
      <c r="F486" s="2">
        <v>1.0</v>
      </c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 t="s">
        <v>790</v>
      </c>
      <c r="B487" s="2">
        <v>1.0</v>
      </c>
      <c r="C487" s="2"/>
      <c r="D487" s="2" t="s">
        <v>11</v>
      </c>
      <c r="E487" s="2" t="s">
        <v>788</v>
      </c>
      <c r="F487" s="2">
        <v>1.0</v>
      </c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 t="s">
        <v>828</v>
      </c>
      <c r="B488" s="2">
        <v>1.0</v>
      </c>
      <c r="C488" s="2"/>
      <c r="D488" s="2" t="s">
        <v>11</v>
      </c>
      <c r="E488" s="2" t="s">
        <v>788</v>
      </c>
      <c r="F488" s="2">
        <v>1.0</v>
      </c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 t="s">
        <v>829</v>
      </c>
      <c r="B489" s="2">
        <v>1.0</v>
      </c>
      <c r="C489" s="2"/>
      <c r="D489" s="2" t="s">
        <v>11</v>
      </c>
      <c r="E489" s="2" t="s">
        <v>788</v>
      </c>
      <c r="F489" s="2">
        <v>1.0</v>
      </c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 t="s">
        <v>794</v>
      </c>
      <c r="B490" s="2">
        <v>1.0</v>
      </c>
      <c r="C490" s="2"/>
      <c r="D490" s="2" t="s">
        <v>11</v>
      </c>
      <c r="E490" s="2" t="s">
        <v>788</v>
      </c>
      <c r="F490" s="2">
        <v>1.0</v>
      </c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 t="s">
        <v>795</v>
      </c>
      <c r="B491" s="2">
        <v>1.0</v>
      </c>
      <c r="C491" s="2"/>
      <c r="D491" s="2" t="s">
        <v>11</v>
      </c>
      <c r="E491" s="2" t="s">
        <v>788</v>
      </c>
      <c r="F491" s="2">
        <v>1.0</v>
      </c>
      <c r="G491" s="2">
        <f>SUM(F485:F491)</f>
        <v>7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 t="s">
        <v>796</v>
      </c>
      <c r="B492" s="2">
        <v>1.0</v>
      </c>
      <c r="C492" s="2" t="s">
        <v>205</v>
      </c>
      <c r="D492" s="2" t="s">
        <v>11</v>
      </c>
      <c r="E492" s="2" t="s">
        <v>797</v>
      </c>
      <c r="F492" s="2">
        <v>1.0</v>
      </c>
      <c r="G492" s="2">
        <v>1.0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8" t="s">
        <v>798</v>
      </c>
      <c r="B493" s="9">
        <v>1.0</v>
      </c>
      <c r="C493" s="9" t="s">
        <v>83</v>
      </c>
      <c r="D493" s="9" t="s">
        <v>11</v>
      </c>
      <c r="E493" s="11" t="s">
        <v>799</v>
      </c>
      <c r="F493" s="9">
        <v>1.0</v>
      </c>
      <c r="G493" s="2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8" t="s">
        <v>798</v>
      </c>
      <c r="B494" s="2"/>
      <c r="C494" s="9" t="s">
        <v>800</v>
      </c>
      <c r="D494" s="9" t="s">
        <v>11</v>
      </c>
      <c r="E494" s="11" t="s">
        <v>799</v>
      </c>
      <c r="F494" s="9">
        <v>1.0</v>
      </c>
      <c r="G494" s="2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8" t="s">
        <v>801</v>
      </c>
      <c r="B495" s="9">
        <v>1.0</v>
      </c>
      <c r="C495" s="2"/>
      <c r="D495" s="9" t="s">
        <v>11</v>
      </c>
      <c r="E495" s="11" t="s">
        <v>799</v>
      </c>
      <c r="F495" s="9">
        <v>1.0</v>
      </c>
      <c r="G495" s="2">
        <f>SUM(F493:F495)</f>
        <v>3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 t="s">
        <v>807</v>
      </c>
      <c r="B496" s="22">
        <f>SUM(B4:B495)</f>
        <v>256</v>
      </c>
      <c r="C496" s="2"/>
      <c r="D496" s="2"/>
      <c r="E496" s="2"/>
      <c r="F496" s="22">
        <f t="shared" ref="F496:G496" si="1">SUM(F4:F495)</f>
        <v>534</v>
      </c>
      <c r="G496" s="22">
        <f t="shared" si="1"/>
        <v>534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2"/>
      <c r="D497" s="2"/>
      <c r="E497" s="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2"/>
      <c r="D498" s="2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 t="s">
        <v>808</v>
      </c>
      <c r="B499" s="2"/>
      <c r="C499" s="2"/>
      <c r="D499" s="2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2"/>
      <c r="D500" s="2"/>
      <c r="E500" s="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5.5" customHeight="1">
      <c r="A501" s="3" t="s">
        <v>809</v>
      </c>
      <c r="B501" s="3"/>
      <c r="C501" s="3" t="s">
        <v>5</v>
      </c>
      <c r="D501" s="3" t="s">
        <v>810</v>
      </c>
      <c r="E501" s="3" t="s">
        <v>811</v>
      </c>
      <c r="F501" s="2"/>
      <c r="G501" s="4" t="s">
        <v>813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 t="s">
        <v>8</v>
      </c>
      <c r="B502" s="2"/>
      <c r="C502" s="2">
        <f>G106</f>
        <v>112</v>
      </c>
      <c r="D502" s="2"/>
      <c r="E502" s="2"/>
      <c r="F502" s="2"/>
      <c r="G502" s="2">
        <f>SUMIF(D4:D106,"Grande",F4:F106)+5</f>
        <v>112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 t="s">
        <v>132</v>
      </c>
      <c r="B503" s="2"/>
      <c r="C503" s="2">
        <f>G248</f>
        <v>152</v>
      </c>
      <c r="D503" s="2"/>
      <c r="E503" s="2"/>
      <c r="F503" s="2"/>
      <c r="G503" s="2">
        <f>SUMIF(D107:D248,"Grande",F107:F248)</f>
        <v>152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 t="s">
        <v>275</v>
      </c>
      <c r="B504" s="2"/>
      <c r="C504" s="9">
        <f>G251</f>
        <v>3</v>
      </c>
      <c r="D504" s="2"/>
      <c r="E504" s="2"/>
      <c r="F504" s="2"/>
      <c r="G504" s="2">
        <f>SUMIF(D249:D251,"Grande",F249:F251)</f>
        <v>3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 t="s">
        <v>283</v>
      </c>
      <c r="B505" s="2"/>
      <c r="C505" s="2">
        <f t="shared" ref="C505:C506" si="2">G265</f>
        <v>16</v>
      </c>
      <c r="D505" s="2"/>
      <c r="E505" s="2"/>
      <c r="F505" s="2"/>
      <c r="G505" s="2">
        <f>SUMIF(D252:D265,"Grande",F252:F265)</f>
        <v>16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 t="s">
        <v>302</v>
      </c>
      <c r="B506" s="2"/>
      <c r="C506" s="2">
        <f t="shared" si="2"/>
        <v>1</v>
      </c>
      <c r="D506" s="2"/>
      <c r="E506" s="2"/>
      <c r="F506" s="2"/>
      <c r="G506" s="2">
        <f>SUMIF(D266,"Grande",F266)</f>
        <v>1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 t="s">
        <v>311</v>
      </c>
      <c r="B507" s="2"/>
      <c r="C507" s="2">
        <f>G325</f>
        <v>63</v>
      </c>
      <c r="D507" s="2"/>
      <c r="E507" s="2"/>
      <c r="F507" s="2"/>
      <c r="G507" s="2">
        <f>SUMIF(D267:D325,"Grande",F267:F325)</f>
        <v>63</v>
      </c>
      <c r="H507" s="1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 t="s">
        <v>435</v>
      </c>
      <c r="B508" s="2"/>
      <c r="C508" s="2">
        <f>+G326</f>
        <v>1</v>
      </c>
      <c r="D508" s="2"/>
      <c r="E508" s="2"/>
      <c r="F508" s="2"/>
      <c r="G508" s="2">
        <f>SUMIF(D326,"Grande",F326)</f>
        <v>1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 t="s">
        <v>439</v>
      </c>
      <c r="B509" s="2"/>
      <c r="C509" s="2">
        <f>+G331</f>
        <v>5</v>
      </c>
      <c r="D509" s="2"/>
      <c r="E509" s="2"/>
      <c r="F509" s="2"/>
      <c r="G509" s="2">
        <f>SUMIF(D327:D331,"Grande",F327:F331)</f>
        <v>5</v>
      </c>
      <c r="H509" s="1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 t="s">
        <v>458</v>
      </c>
      <c r="B510" s="2"/>
      <c r="C510" s="2">
        <f t="shared" ref="C510:C511" si="3">+G334</f>
        <v>3</v>
      </c>
      <c r="D510" s="2"/>
      <c r="E510" s="2"/>
      <c r="F510" s="2"/>
      <c r="G510" s="2">
        <f>SUMIF(D332:D334,"Grande",F332:F334)</f>
        <v>3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 t="s">
        <v>461</v>
      </c>
      <c r="B511" s="2"/>
      <c r="C511" s="2">
        <f t="shared" si="3"/>
        <v>1</v>
      </c>
      <c r="D511" s="2"/>
      <c r="E511" s="2"/>
      <c r="F511" s="2"/>
      <c r="G511" s="2">
        <v>1.0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 t="s">
        <v>465</v>
      </c>
      <c r="B512" s="2"/>
      <c r="C512" s="2">
        <f>G338</f>
        <v>3</v>
      </c>
      <c r="D512" s="2"/>
      <c r="E512" s="2"/>
      <c r="F512" s="2"/>
      <c r="G512" s="2">
        <f>SUMIF(D336:D338,"Grande",F336:F338)</f>
        <v>3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3" t="s">
        <v>475</v>
      </c>
      <c r="B513" s="2"/>
      <c r="C513" s="2">
        <f>G340</f>
        <v>2</v>
      </c>
      <c r="D513" s="2"/>
      <c r="E513" s="2"/>
      <c r="F513" s="2"/>
      <c r="G513" s="2">
        <f>SUMIF(D339:D340,"Grande",F339:F340)</f>
        <v>2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 t="s">
        <v>478</v>
      </c>
      <c r="B514" s="2"/>
      <c r="C514" s="2">
        <f>G355</f>
        <v>15</v>
      </c>
      <c r="D514" s="2"/>
      <c r="E514" s="2"/>
      <c r="F514" s="2"/>
      <c r="G514" s="2">
        <f>SUMIF(D341:D355,"Grande",F341:F355)</f>
        <v>15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 t="s">
        <v>495</v>
      </c>
      <c r="B515" s="2"/>
      <c r="C515" s="2">
        <f>G366</f>
        <v>14</v>
      </c>
      <c r="D515" s="2"/>
      <c r="E515" s="2"/>
      <c r="F515" s="2"/>
      <c r="G515" s="2">
        <f>SUMIF(D356:D366,"Grande",F356:F366)</f>
        <v>14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 t="s">
        <v>544</v>
      </c>
      <c r="B516" s="2"/>
      <c r="C516" s="2">
        <f>G370</f>
        <v>4</v>
      </c>
      <c r="D516" s="2"/>
      <c r="E516" s="2"/>
      <c r="F516" s="2"/>
      <c r="G516" s="2">
        <f>SUMIF(D367:D370,"Grande",F367:F370)</f>
        <v>4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3" t="s">
        <v>549</v>
      </c>
      <c r="B517" s="2"/>
      <c r="C517" s="2">
        <f>G372</f>
        <v>2</v>
      </c>
      <c r="D517" s="2"/>
      <c r="E517" s="2"/>
      <c r="F517" s="2"/>
      <c r="G517" s="2">
        <f>SUMIF(D371:D372,"Grande",F371:F372)</f>
        <v>2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 t="s">
        <v>553</v>
      </c>
      <c r="B518" s="2"/>
      <c r="C518" s="2">
        <f>G376</f>
        <v>4</v>
      </c>
      <c r="D518" s="2"/>
      <c r="E518" s="2"/>
      <c r="F518" s="2"/>
      <c r="G518" s="2">
        <f>SUMIF(D373:D376,"Grande",F373:F376)</f>
        <v>4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 t="s">
        <v>559</v>
      </c>
      <c r="B519" s="2"/>
      <c r="C519" s="2">
        <f>G380</f>
        <v>5</v>
      </c>
      <c r="D519" s="2"/>
      <c r="E519" s="2"/>
      <c r="F519" s="2"/>
      <c r="G519" s="2">
        <f>SUMIF(D377:D380,"Grande",F377:F380)</f>
        <v>5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 t="s">
        <v>594</v>
      </c>
      <c r="B520" s="2"/>
      <c r="C520" s="2">
        <f>G400</f>
        <v>22</v>
      </c>
      <c r="D520" s="2"/>
      <c r="E520" s="2"/>
      <c r="F520" s="2"/>
      <c r="G520" s="2">
        <f>SUMIF(D381:D400,"Grande",F381:F400)</f>
        <v>22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 t="s">
        <v>631</v>
      </c>
      <c r="B521" s="2"/>
      <c r="C521" s="2">
        <f>G433</f>
        <v>36</v>
      </c>
      <c r="D521" s="2"/>
      <c r="E521" s="2"/>
      <c r="F521" s="2"/>
      <c r="G521" s="2">
        <f>SUMIF(D401:D433,"Grande",F401:F433)</f>
        <v>36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 t="s">
        <v>671</v>
      </c>
      <c r="B522" s="2"/>
      <c r="C522" s="2">
        <f t="shared" ref="C522:C523" si="4">G437</f>
        <v>4</v>
      </c>
      <c r="D522" s="2"/>
      <c r="E522" s="2"/>
      <c r="F522" s="2"/>
      <c r="G522" s="2">
        <f>SUMIF(D434:D437,"Grande",F434:F437)</f>
        <v>4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 t="s">
        <v>676</v>
      </c>
      <c r="B523" s="2"/>
      <c r="C523" s="2">
        <f t="shared" si="4"/>
        <v>1</v>
      </c>
      <c r="D523" s="2"/>
      <c r="E523" s="2"/>
      <c r="F523" s="2"/>
      <c r="G523" s="2">
        <f>SUMIF(D438,"Grande",F438)</f>
        <v>1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 t="s">
        <v>678</v>
      </c>
      <c r="B524" s="2"/>
      <c r="C524" s="2">
        <f>G456</f>
        <v>21</v>
      </c>
      <c r="D524" s="2"/>
      <c r="E524" s="2"/>
      <c r="F524" s="2"/>
      <c r="G524" s="2">
        <f>SUMIF(D439:D456,"Grande",F439:F456)</f>
        <v>21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 t="s">
        <v>702</v>
      </c>
      <c r="B525" s="2"/>
      <c r="C525" s="2">
        <f>G460</f>
        <v>5</v>
      </c>
      <c r="D525" s="2"/>
      <c r="E525" s="2"/>
      <c r="F525" s="2"/>
      <c r="G525" s="2">
        <f>SUMIF(D457:D460,"Grande",F457:F460)</f>
        <v>5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 t="s">
        <v>708</v>
      </c>
      <c r="B526" s="2"/>
      <c r="C526" s="2">
        <f>G462</f>
        <v>2</v>
      </c>
      <c r="D526" s="2"/>
      <c r="E526" s="2"/>
      <c r="F526" s="2"/>
      <c r="G526" s="2">
        <f>SUMIF(D461:D462,"Grande",F461:F462)</f>
        <v>2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 t="s">
        <v>726</v>
      </c>
      <c r="B527" s="2"/>
      <c r="C527" s="2">
        <f>G464</f>
        <v>2</v>
      </c>
      <c r="D527" s="2"/>
      <c r="E527" s="2"/>
      <c r="F527" s="2"/>
      <c r="G527" s="2">
        <f>SUMIF(D464,"Grande",F464)</f>
        <v>2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 t="s">
        <v>730</v>
      </c>
      <c r="B528" s="2"/>
      <c r="C528" s="2">
        <f>G463</f>
        <v>1</v>
      </c>
      <c r="D528" s="2"/>
      <c r="E528" s="2"/>
      <c r="F528" s="2"/>
      <c r="G528" s="2">
        <v>1.0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 t="s">
        <v>732</v>
      </c>
      <c r="B529" s="2"/>
      <c r="C529" s="2">
        <f>G466</f>
        <v>2</v>
      </c>
      <c r="D529" s="2"/>
      <c r="E529" s="2"/>
      <c r="F529" s="2"/>
      <c r="G529" s="2">
        <f>SUMIF(D465:D466,"Grande",F465:F466)</f>
        <v>2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 t="s">
        <v>750</v>
      </c>
      <c r="B530" s="2"/>
      <c r="C530" s="2">
        <v>1.0</v>
      </c>
      <c r="D530" s="2"/>
      <c r="E530" s="2"/>
      <c r="F530" s="2"/>
      <c r="G530" s="2">
        <v>1.0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 t="s">
        <v>757</v>
      </c>
      <c r="B531" s="2"/>
      <c r="C531" s="2">
        <f t="shared" ref="C531:C532" si="5">G474</f>
        <v>8</v>
      </c>
      <c r="D531" s="2"/>
      <c r="E531" s="2"/>
      <c r="F531" s="2"/>
      <c r="G531" s="2">
        <f>SUMIF(D468:D474,"Grande",F468:F474)</f>
        <v>8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 t="s">
        <v>763</v>
      </c>
      <c r="B532" s="2"/>
      <c r="C532" s="2">
        <f t="shared" si="5"/>
        <v>1</v>
      </c>
      <c r="D532" s="2"/>
      <c r="E532" s="2"/>
      <c r="F532" s="2"/>
      <c r="G532" s="2">
        <f>SUMIF(D475,"Grande",F475)</f>
        <v>1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 t="s">
        <v>814</v>
      </c>
      <c r="B533" s="2"/>
      <c r="C533" s="2">
        <f>G481</f>
        <v>8</v>
      </c>
      <c r="D533" s="2"/>
      <c r="E533" s="2"/>
      <c r="F533" s="2"/>
      <c r="G533" s="2">
        <f>SUMIF(D476:D481,"Grande",F476:F481)</f>
        <v>8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 t="s">
        <v>779</v>
      </c>
      <c r="B534" s="2"/>
      <c r="C534" s="2">
        <f t="shared" ref="C534:C535" si="6">G483</f>
        <v>2</v>
      </c>
      <c r="D534" s="2"/>
      <c r="E534" s="2"/>
      <c r="F534" s="2"/>
      <c r="G534" s="2">
        <f>SUMIF(D482:D483,"Grande",F482:F483)</f>
        <v>2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3" t="s">
        <v>782</v>
      </c>
      <c r="B535" s="2"/>
      <c r="C535" s="2">
        <f t="shared" si="6"/>
        <v>1</v>
      </c>
      <c r="D535" s="2"/>
      <c r="E535" s="2"/>
      <c r="F535" s="2"/>
      <c r="G535" s="9">
        <v>1.0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 t="s">
        <v>788</v>
      </c>
      <c r="B536" s="2"/>
      <c r="C536" s="2">
        <f t="shared" ref="C536:C537" si="7">G491</f>
        <v>7</v>
      </c>
      <c r="D536" s="2"/>
      <c r="E536" s="2"/>
      <c r="F536" s="2"/>
      <c r="G536" s="2">
        <f>SUMIF(D485:D491,"Grande",F485:F491)</f>
        <v>7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 t="s">
        <v>797</v>
      </c>
      <c r="B537" s="2"/>
      <c r="C537" s="2">
        <f t="shared" si="7"/>
        <v>1</v>
      </c>
      <c r="D537" s="2"/>
      <c r="E537" s="2"/>
      <c r="F537" s="2"/>
      <c r="G537" s="2">
        <v>1.0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3" t="s">
        <v>799</v>
      </c>
      <c r="B538" s="2"/>
      <c r="C538" s="2">
        <f>G495</f>
        <v>3</v>
      </c>
      <c r="D538" s="22"/>
      <c r="E538" s="22"/>
      <c r="F538" s="2"/>
      <c r="G538" s="2">
        <f>SUMIF(D493:D495,"Grande",F493:F495)</f>
        <v>3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2"/>
      <c r="D539" s="22">
        <f>COUNT(C502:C537)</f>
        <v>36</v>
      </c>
      <c r="E539" s="22">
        <f>B496</f>
        <v>256</v>
      </c>
      <c r="F539" s="2"/>
      <c r="G539" s="22">
        <f>SUM(G502:G538)</f>
        <v>534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22">
        <f>SUM(C502:C538)</f>
        <v>534</v>
      </c>
      <c r="D540" s="2"/>
      <c r="E540" s="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2"/>
      <c r="D541" s="2"/>
      <c r="E541" s="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2"/>
      <c r="D542" s="2"/>
      <c r="E542" s="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2"/>
      <c r="D543" s="2"/>
      <c r="E543" s="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2"/>
      <c r="D544" s="2"/>
      <c r="E544" s="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2"/>
      <c r="D545" s="2"/>
      <c r="E545" s="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2"/>
      <c r="D546" s="2"/>
      <c r="E546" s="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2"/>
      <c r="D547" s="2"/>
      <c r="E547" s="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2"/>
      <c r="D548" s="2"/>
      <c r="E548" s="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2"/>
      <c r="D549" s="2"/>
      <c r="E549" s="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2"/>
      <c r="D550" s="2"/>
      <c r="E550" s="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2"/>
      <c r="D551" s="2"/>
      <c r="E551" s="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2"/>
      <c r="D552" s="2"/>
      <c r="E552" s="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2"/>
      <c r="D553" s="2"/>
      <c r="E553" s="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2"/>
      <c r="D554" s="2"/>
      <c r="E554" s="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2"/>
      <c r="D555" s="2"/>
      <c r="E555" s="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2"/>
      <c r="D556" s="2"/>
      <c r="E556" s="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2"/>
      <c r="D557" s="2"/>
      <c r="E557" s="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2"/>
      <c r="D558" s="2"/>
      <c r="E558" s="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2"/>
      <c r="D559" s="2"/>
      <c r="E559" s="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2"/>
      <c r="D560" s="2"/>
      <c r="E560" s="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2"/>
      <c r="D561" s="2"/>
      <c r="E561" s="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2"/>
      <c r="D562" s="2"/>
      <c r="E562" s="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2"/>
      <c r="D563" s="2"/>
      <c r="E563" s="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2"/>
      <c r="D564" s="2"/>
      <c r="E564" s="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2"/>
      <c r="D565" s="2"/>
      <c r="E565" s="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2"/>
      <c r="D566" s="2"/>
      <c r="E566" s="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2"/>
      <c r="D567" s="2"/>
      <c r="E567" s="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2"/>
      <c r="D568" s="2"/>
      <c r="E568" s="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2"/>
      <c r="D569" s="2"/>
      <c r="E569" s="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2"/>
      <c r="D570" s="2"/>
      <c r="E570" s="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2"/>
      <c r="D571" s="2"/>
      <c r="E571" s="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2"/>
      <c r="D572" s="2"/>
      <c r="E572" s="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2"/>
      <c r="D573" s="2"/>
      <c r="E573" s="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2"/>
      <c r="D574" s="2"/>
      <c r="E574" s="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2"/>
      <c r="D575" s="2"/>
      <c r="E575" s="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2"/>
      <c r="D576" s="2"/>
      <c r="E576" s="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2"/>
      <c r="D577" s="2"/>
      <c r="E577" s="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2"/>
      <c r="D578" s="2"/>
      <c r="E578" s="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2"/>
      <c r="D579" s="2"/>
      <c r="E579" s="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2"/>
      <c r="D580" s="2"/>
      <c r="E580" s="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2"/>
      <c r="D581" s="2"/>
      <c r="E581" s="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2"/>
      <c r="D582" s="2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2"/>
      <c r="D583" s="2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2"/>
      <c r="D584" s="2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2"/>
      <c r="D585" s="2"/>
      <c r="E585" s="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2"/>
      <c r="D586" s="2"/>
      <c r="E586" s="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2"/>
      <c r="D587" s="2"/>
      <c r="E587" s="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2"/>
      <c r="D588" s="2"/>
      <c r="E588" s="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2"/>
      <c r="D589" s="2"/>
      <c r="E589" s="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2"/>
      <c r="D590" s="2"/>
      <c r="E590" s="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2"/>
      <c r="D591" s="2"/>
      <c r="E591" s="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2"/>
      <c r="D592" s="2"/>
      <c r="E592" s="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2"/>
      <c r="D593" s="2"/>
      <c r="E593" s="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2"/>
      <c r="D594" s="2"/>
      <c r="E594" s="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2"/>
      <c r="D595" s="2"/>
      <c r="E595" s="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2"/>
      <c r="D596" s="2"/>
      <c r="E596" s="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2"/>
      <c r="D597" s="2"/>
      <c r="E597" s="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2"/>
      <c r="D598" s="2"/>
      <c r="E598" s="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2"/>
      <c r="D599" s="2"/>
      <c r="E599" s="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2"/>
      <c r="D600" s="2"/>
      <c r="E600" s="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2"/>
      <c r="D601" s="2"/>
      <c r="E601" s="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2"/>
      <c r="D602" s="2"/>
      <c r="E602" s="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2"/>
      <c r="D603" s="2"/>
      <c r="E603" s="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2"/>
      <c r="D604" s="2"/>
      <c r="E604" s="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2"/>
      <c r="D605" s="2"/>
      <c r="E605" s="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2"/>
      <c r="D606" s="2"/>
      <c r="E606" s="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2"/>
      <c r="D607" s="2"/>
      <c r="E607" s="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2"/>
      <c r="D608" s="2"/>
      <c r="E608" s="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2"/>
      <c r="D609" s="2"/>
      <c r="E609" s="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2"/>
      <c r="D610" s="2"/>
      <c r="E610" s="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2"/>
      <c r="D611" s="2"/>
      <c r="E611" s="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2"/>
      <c r="D612" s="2"/>
      <c r="E612" s="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2"/>
      <c r="D613" s="2"/>
      <c r="E613" s="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2"/>
      <c r="D614" s="2"/>
      <c r="E614" s="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2"/>
      <c r="D615" s="2"/>
      <c r="E615" s="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2"/>
      <c r="D616" s="2"/>
      <c r="E616" s="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2"/>
      <c r="D617" s="2"/>
      <c r="E617" s="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2"/>
      <c r="D618" s="2"/>
      <c r="E618" s="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2"/>
      <c r="D619" s="2"/>
      <c r="E619" s="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2"/>
      <c r="D620" s="2"/>
      <c r="E620" s="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2"/>
      <c r="D621" s="2"/>
      <c r="E621" s="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2"/>
      <c r="D622" s="2"/>
      <c r="E622" s="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2"/>
      <c r="D623" s="2"/>
      <c r="E623" s="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2"/>
      <c r="D624" s="2"/>
      <c r="E624" s="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2"/>
      <c r="D625" s="2"/>
      <c r="E625" s="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2"/>
      <c r="D626" s="2"/>
      <c r="E626" s="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2"/>
      <c r="D627" s="2"/>
      <c r="E627" s="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2"/>
      <c r="D628" s="2"/>
      <c r="E628" s="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2"/>
      <c r="D629" s="2"/>
      <c r="E629" s="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2"/>
      <c r="D630" s="2"/>
      <c r="E630" s="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2"/>
      <c r="D631" s="2"/>
      <c r="E631" s="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2"/>
      <c r="D632" s="2"/>
      <c r="E632" s="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2"/>
      <c r="D633" s="2"/>
      <c r="E633" s="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2"/>
      <c r="D634" s="2"/>
      <c r="E634" s="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2"/>
      <c r="D635" s="2"/>
      <c r="E635" s="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2"/>
      <c r="D636" s="2"/>
      <c r="E636" s="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2"/>
      <c r="D637" s="2"/>
      <c r="E637" s="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2"/>
      <c r="D638" s="2"/>
      <c r="E638" s="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2"/>
      <c r="D639" s="2"/>
      <c r="E639" s="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2"/>
      <c r="D640" s="2"/>
      <c r="E640" s="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2"/>
      <c r="D641" s="2"/>
      <c r="E641" s="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2"/>
      <c r="D642" s="2"/>
      <c r="E642" s="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2"/>
      <c r="D643" s="2"/>
      <c r="E643" s="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2"/>
      <c r="D644" s="2"/>
      <c r="E644" s="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2"/>
      <c r="D645" s="2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2"/>
      <c r="D646" s="2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2"/>
      <c r="D647" s="2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2"/>
      <c r="D648" s="2"/>
      <c r="E648" s="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2"/>
      <c r="D649" s="2"/>
      <c r="E649" s="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2"/>
      <c r="D650" s="2"/>
      <c r="E650" s="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2"/>
      <c r="D651" s="2"/>
      <c r="E651" s="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2"/>
      <c r="D652" s="2"/>
      <c r="E652" s="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2"/>
      <c r="D653" s="2"/>
      <c r="E653" s="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2"/>
      <c r="D654" s="2"/>
      <c r="E654" s="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2"/>
      <c r="D655" s="2"/>
      <c r="E655" s="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2"/>
      <c r="D656" s="2"/>
      <c r="E656" s="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2"/>
      <c r="D657" s="2"/>
      <c r="E657" s="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2"/>
      <c r="D658" s="2"/>
      <c r="E658" s="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2"/>
      <c r="D659" s="2"/>
      <c r="E659" s="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2"/>
      <c r="D660" s="2"/>
      <c r="E660" s="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2"/>
      <c r="D661" s="2"/>
      <c r="E661" s="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2"/>
      <c r="D662" s="2"/>
      <c r="E662" s="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2"/>
      <c r="D663" s="2"/>
      <c r="E663" s="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2"/>
      <c r="D664" s="2"/>
      <c r="E664" s="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2"/>
      <c r="D665" s="2"/>
      <c r="E665" s="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2"/>
      <c r="D666" s="2"/>
      <c r="E666" s="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2"/>
      <c r="D667" s="2"/>
      <c r="E667" s="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2"/>
      <c r="D668" s="2"/>
      <c r="E668" s="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2"/>
      <c r="D669" s="2"/>
      <c r="E669" s="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2"/>
      <c r="D670" s="2"/>
      <c r="E670" s="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2"/>
      <c r="D671" s="2"/>
      <c r="E671" s="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2"/>
      <c r="D672" s="2"/>
      <c r="E672" s="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2"/>
      <c r="D673" s="2"/>
      <c r="E673" s="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2"/>
      <c r="D674" s="2"/>
      <c r="E674" s="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2"/>
      <c r="D675" s="2"/>
      <c r="E675" s="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2"/>
      <c r="D676" s="2"/>
      <c r="E676" s="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2"/>
      <c r="D677" s="2"/>
      <c r="E677" s="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2"/>
      <c r="D678" s="2"/>
      <c r="E678" s="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2"/>
      <c r="D679" s="2"/>
      <c r="E679" s="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2"/>
      <c r="D680" s="2"/>
      <c r="E680" s="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2"/>
      <c r="D681" s="2"/>
      <c r="E681" s="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2"/>
      <c r="D682" s="2"/>
      <c r="E682" s="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2"/>
      <c r="D683" s="2"/>
      <c r="E683" s="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2"/>
      <c r="D684" s="2"/>
      <c r="E684" s="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2"/>
      <c r="D685" s="2"/>
      <c r="E685" s="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2"/>
      <c r="D686" s="2"/>
      <c r="E686" s="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2"/>
      <c r="D687" s="2"/>
      <c r="E687" s="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2"/>
      <c r="D688" s="2"/>
      <c r="E688" s="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2"/>
      <c r="D689" s="2"/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2"/>
      <c r="D690" s="2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2"/>
      <c r="D691" s="2"/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2"/>
      <c r="D692" s="2"/>
      <c r="E692" s="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2"/>
      <c r="D693" s="2"/>
      <c r="E693" s="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2"/>
      <c r="D694" s="2"/>
      <c r="E694" s="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2"/>
      <c r="D695" s="2"/>
      <c r="E695" s="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2"/>
      <c r="D696" s="2"/>
      <c r="E696" s="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2"/>
      <c r="D697" s="2"/>
      <c r="E697" s="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2"/>
      <c r="D698" s="2"/>
      <c r="E698" s="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2"/>
      <c r="D699" s="2"/>
      <c r="E699" s="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2"/>
      <c r="D700" s="2"/>
      <c r="E700" s="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2"/>
      <c r="D701" s="2"/>
      <c r="E701" s="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2"/>
      <c r="D702" s="2"/>
      <c r="E702" s="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2"/>
      <c r="D703" s="2"/>
      <c r="E703" s="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2"/>
      <c r="D704" s="2"/>
      <c r="E704" s="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2"/>
      <c r="D705" s="2"/>
      <c r="E705" s="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2"/>
      <c r="D706" s="2"/>
      <c r="E706" s="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2"/>
      <c r="D707" s="2"/>
      <c r="E707" s="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2"/>
      <c r="D708" s="2"/>
      <c r="E708" s="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2"/>
      <c r="D709" s="2"/>
      <c r="E709" s="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2"/>
      <c r="D710" s="2"/>
      <c r="E710" s="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2"/>
      <c r="D711" s="2"/>
      <c r="E711" s="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2"/>
      <c r="D712" s="2"/>
      <c r="E712" s="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2"/>
      <c r="D713" s="2"/>
      <c r="E713" s="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2"/>
      <c r="D714" s="2"/>
      <c r="E714" s="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2"/>
      <c r="D715" s="2"/>
      <c r="E715" s="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2"/>
      <c r="D716" s="2"/>
      <c r="E716" s="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2"/>
      <c r="D717" s="2"/>
      <c r="E717" s="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2"/>
      <c r="D718" s="2"/>
      <c r="E718" s="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2"/>
      <c r="D719" s="2"/>
      <c r="E719" s="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2"/>
      <c r="D720" s="2"/>
      <c r="E720" s="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2"/>
      <c r="D721" s="2"/>
      <c r="E721" s="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2"/>
      <c r="D722" s="2"/>
      <c r="E722" s="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2"/>
      <c r="D723" s="2"/>
      <c r="E723" s="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2"/>
      <c r="D724" s="2"/>
      <c r="E724" s="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2"/>
      <c r="D725" s="2"/>
      <c r="E725" s="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2"/>
      <c r="D726" s="2"/>
      <c r="E726" s="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2"/>
      <c r="D727" s="2"/>
      <c r="E727" s="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2"/>
      <c r="D728" s="2"/>
      <c r="E728" s="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2"/>
      <c r="D729" s="2"/>
      <c r="E729" s="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2"/>
      <c r="D730" s="2"/>
      <c r="E730" s="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2"/>
      <c r="D731" s="2"/>
      <c r="E731" s="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2"/>
      <c r="D732" s="2"/>
      <c r="E732" s="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2"/>
      <c r="D733" s="2"/>
      <c r="E733" s="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2"/>
      <c r="D734" s="2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2"/>
      <c r="D735" s="2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2"/>
      <c r="D736" s="2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2"/>
      <c r="D737" s="2"/>
      <c r="E737" s="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2"/>
      <c r="D738" s="2"/>
      <c r="E738" s="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2"/>
      <c r="D739" s="2"/>
      <c r="E739" s="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2"/>
      <c r="D740" s="2"/>
      <c r="E740" s="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2"/>
      <c r="D741" s="2"/>
      <c r="E741" s="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2"/>
      <c r="D742" s="2"/>
      <c r="E742" s="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2"/>
      <c r="D743" s="2"/>
      <c r="E743" s="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2"/>
      <c r="D744" s="2"/>
      <c r="E744" s="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2"/>
      <c r="D745" s="2"/>
      <c r="E745" s="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2"/>
      <c r="D746" s="2"/>
      <c r="E746" s="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2"/>
      <c r="D747" s="2"/>
      <c r="E747" s="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2"/>
      <c r="D748" s="2"/>
      <c r="E748" s="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2"/>
      <c r="D749" s="2"/>
      <c r="E749" s="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2"/>
      <c r="D750" s="2"/>
      <c r="E750" s="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2"/>
      <c r="D751" s="2"/>
      <c r="E751" s="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2"/>
      <c r="D752" s="2"/>
      <c r="E752" s="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2"/>
      <c r="D753" s="2"/>
      <c r="E753" s="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2"/>
      <c r="D754" s="2"/>
      <c r="E754" s="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2"/>
      <c r="D755" s="2"/>
      <c r="E755" s="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2"/>
      <c r="D756" s="2"/>
      <c r="E756" s="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2"/>
      <c r="D757" s="2"/>
      <c r="E757" s="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2"/>
      <c r="D758" s="2"/>
      <c r="E758" s="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2"/>
      <c r="D759" s="2"/>
      <c r="E759" s="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2"/>
      <c r="D760" s="2"/>
      <c r="E760" s="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2"/>
      <c r="D761" s="2"/>
      <c r="E761" s="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2"/>
      <c r="D762" s="2"/>
      <c r="E762" s="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2"/>
      <c r="D763" s="2"/>
      <c r="E763" s="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2"/>
      <c r="D764" s="2"/>
      <c r="E764" s="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2"/>
      <c r="D765" s="2"/>
      <c r="E765" s="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2"/>
      <c r="D766" s="2"/>
      <c r="E766" s="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2"/>
      <c r="D767" s="2"/>
      <c r="E767" s="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2"/>
      <c r="D768" s="2"/>
      <c r="E768" s="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2"/>
      <c r="D769" s="2"/>
      <c r="E769" s="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2"/>
      <c r="D770" s="2"/>
      <c r="E770" s="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2"/>
      <c r="D771" s="2"/>
      <c r="E771" s="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2"/>
      <c r="D772" s="2"/>
      <c r="E772" s="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2"/>
      <c r="D773" s="2"/>
      <c r="E773" s="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2"/>
      <c r="D774" s="2"/>
      <c r="E774" s="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2"/>
      <c r="D775" s="2"/>
      <c r="E775" s="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2"/>
      <c r="D776" s="2"/>
      <c r="E776" s="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2"/>
      <c r="D777" s="2"/>
      <c r="E777" s="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2"/>
      <c r="D778" s="2"/>
      <c r="E778" s="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2"/>
      <c r="D779" s="2"/>
      <c r="E779" s="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2"/>
      <c r="D780" s="2"/>
      <c r="E780" s="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2"/>
      <c r="D781" s="2"/>
      <c r="E781" s="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2"/>
      <c r="D782" s="2"/>
      <c r="E782" s="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2"/>
      <c r="D783" s="2"/>
      <c r="E783" s="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2"/>
      <c r="D784" s="2"/>
      <c r="E784" s="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2"/>
      <c r="D785" s="2"/>
      <c r="E785" s="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2"/>
      <c r="D786" s="2"/>
      <c r="E786" s="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2"/>
      <c r="D787" s="2"/>
      <c r="E787" s="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2"/>
      <c r="D788" s="2"/>
      <c r="E788" s="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2"/>
      <c r="D789" s="2"/>
      <c r="E789" s="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2"/>
      <c r="D790" s="2"/>
      <c r="E790" s="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2"/>
      <c r="D791" s="2"/>
      <c r="E791" s="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2"/>
      <c r="D792" s="2"/>
      <c r="E792" s="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2"/>
      <c r="D793" s="2"/>
      <c r="E793" s="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2"/>
      <c r="D794" s="2"/>
      <c r="E794" s="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2"/>
      <c r="D795" s="2"/>
      <c r="E795" s="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2"/>
      <c r="D796" s="2"/>
      <c r="E796" s="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2"/>
      <c r="D797" s="2"/>
      <c r="E797" s="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2"/>
      <c r="D798" s="2"/>
      <c r="E798" s="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2"/>
      <c r="D799" s="2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2"/>
      <c r="D800" s="2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2"/>
      <c r="D801" s="2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2"/>
      <c r="D802" s="2"/>
      <c r="E802" s="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2"/>
      <c r="D803" s="2"/>
      <c r="E803" s="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2"/>
      <c r="D804" s="2"/>
      <c r="E804" s="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2"/>
      <c r="D805" s="2"/>
      <c r="E805" s="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2"/>
      <c r="D806" s="2"/>
      <c r="E806" s="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2"/>
      <c r="D807" s="2"/>
      <c r="E807" s="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2"/>
      <c r="D808" s="2"/>
      <c r="E808" s="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2"/>
      <c r="D809" s="2"/>
      <c r="E809" s="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2"/>
      <c r="D810" s="2"/>
      <c r="E810" s="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2"/>
      <c r="D811" s="2"/>
      <c r="E811" s="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2"/>
      <c r="D812" s="2"/>
      <c r="E812" s="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2"/>
      <c r="D813" s="2"/>
      <c r="E813" s="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2"/>
      <c r="D814" s="2"/>
      <c r="E814" s="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2"/>
      <c r="D815" s="2"/>
      <c r="E815" s="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2"/>
      <c r="D816" s="2"/>
      <c r="E816" s="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2"/>
      <c r="D817" s="2"/>
      <c r="E817" s="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2"/>
      <c r="D818" s="2"/>
      <c r="E818" s="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2"/>
      <c r="D819" s="2"/>
      <c r="E819" s="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2"/>
      <c r="D820" s="2"/>
      <c r="E820" s="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2"/>
      <c r="D821" s="2"/>
      <c r="E821" s="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2"/>
      <c r="D822" s="2"/>
      <c r="E822" s="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2"/>
      <c r="D823" s="2"/>
      <c r="E823" s="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2"/>
      <c r="D824" s="2"/>
      <c r="E824" s="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2"/>
      <c r="D825" s="2"/>
      <c r="E825" s="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2"/>
      <c r="D826" s="2"/>
      <c r="E826" s="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2"/>
      <c r="D827" s="2"/>
      <c r="E827" s="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2"/>
      <c r="D828" s="2"/>
      <c r="E828" s="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2"/>
      <c r="D829" s="2"/>
      <c r="E829" s="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2"/>
      <c r="D830" s="2"/>
      <c r="E830" s="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2"/>
      <c r="D831" s="2"/>
      <c r="E831" s="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2"/>
      <c r="D832" s="2"/>
      <c r="E832" s="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2"/>
      <c r="D833" s="2"/>
      <c r="E833" s="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2"/>
      <c r="D834" s="2"/>
      <c r="E834" s="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2"/>
      <c r="D835" s="2"/>
      <c r="E835" s="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2"/>
      <c r="D836" s="2"/>
      <c r="E836" s="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2"/>
      <c r="D837" s="2"/>
      <c r="E837" s="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2"/>
      <c r="D838" s="2"/>
      <c r="E838" s="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2"/>
      <c r="D839" s="2"/>
      <c r="E839" s="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2"/>
      <c r="D840" s="2"/>
      <c r="E840" s="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2"/>
      <c r="D841" s="2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2"/>
      <c r="D842" s="2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2"/>
      <c r="D843" s="2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2"/>
      <c r="D844" s="2"/>
      <c r="E844" s="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2"/>
      <c r="D845" s="2"/>
      <c r="E845" s="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2"/>
      <c r="D846" s="2"/>
      <c r="E846" s="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2"/>
      <c r="D847" s="2"/>
      <c r="E847" s="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2"/>
      <c r="D848" s="2"/>
      <c r="E848" s="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2"/>
      <c r="D849" s="2"/>
      <c r="E849" s="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2"/>
      <c r="D850" s="2"/>
      <c r="E850" s="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2"/>
      <c r="D851" s="2"/>
      <c r="E851" s="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2"/>
      <c r="D852" s="2"/>
      <c r="E852" s="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2"/>
      <c r="D853" s="2"/>
      <c r="E853" s="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2"/>
      <c r="D854" s="2"/>
      <c r="E854" s="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2"/>
      <c r="D855" s="2"/>
      <c r="E855" s="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2"/>
      <c r="D856" s="2"/>
      <c r="E856" s="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2"/>
      <c r="D857" s="2"/>
      <c r="E857" s="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2"/>
      <c r="D858" s="2"/>
      <c r="E858" s="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2"/>
      <c r="D859" s="2"/>
      <c r="E859" s="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2"/>
      <c r="D860" s="2"/>
      <c r="E860" s="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2"/>
      <c r="D861" s="2"/>
      <c r="E861" s="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2"/>
      <c r="D862" s="2"/>
      <c r="E862" s="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2"/>
      <c r="D863" s="2"/>
      <c r="E863" s="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2"/>
      <c r="D864" s="2"/>
      <c r="E864" s="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2"/>
      <c r="D865" s="2"/>
      <c r="E865" s="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2"/>
      <c r="D866" s="2"/>
      <c r="E866" s="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2"/>
      <c r="D867" s="2"/>
      <c r="E867" s="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2"/>
      <c r="D868" s="2"/>
      <c r="E868" s="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2"/>
      <c r="D869" s="2"/>
      <c r="E869" s="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2"/>
      <c r="D870" s="2"/>
      <c r="E870" s="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2"/>
      <c r="D871" s="2"/>
      <c r="E871" s="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2"/>
      <c r="D872" s="2"/>
      <c r="E872" s="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2"/>
      <c r="D873" s="2"/>
      <c r="E873" s="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2"/>
      <c r="D874" s="2"/>
      <c r="E874" s="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2"/>
      <c r="D875" s="2"/>
      <c r="E875" s="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2"/>
      <c r="D876" s="2"/>
      <c r="E876" s="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2"/>
      <c r="D877" s="2"/>
      <c r="E877" s="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2"/>
      <c r="D878" s="2"/>
      <c r="E878" s="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2"/>
      <c r="D879" s="2"/>
      <c r="E879" s="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2"/>
      <c r="D880" s="2"/>
      <c r="E880" s="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2"/>
      <c r="D881" s="2"/>
      <c r="E881" s="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2"/>
      <c r="D882" s="2"/>
      <c r="E882" s="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2"/>
      <c r="D883" s="2"/>
      <c r="E883" s="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2"/>
      <c r="D884" s="2"/>
      <c r="E884" s="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2"/>
      <c r="D885" s="2"/>
      <c r="E885" s="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2"/>
      <c r="D886" s="2"/>
      <c r="E886" s="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2"/>
      <c r="D887" s="2"/>
      <c r="E887" s="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2"/>
      <c r="D888" s="2"/>
      <c r="E888" s="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2"/>
      <c r="D889" s="2"/>
      <c r="E889" s="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2"/>
      <c r="D890" s="2"/>
      <c r="E890" s="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2"/>
      <c r="D891" s="2"/>
      <c r="E891" s="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2"/>
      <c r="D892" s="2"/>
      <c r="E892" s="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2"/>
      <c r="D893" s="2"/>
      <c r="E893" s="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2"/>
      <c r="D894" s="2"/>
      <c r="E894" s="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2"/>
      <c r="D895" s="2"/>
      <c r="E895" s="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2"/>
      <c r="D896" s="2"/>
      <c r="E896" s="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2"/>
      <c r="D897" s="2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2"/>
      <c r="D898" s="2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2"/>
      <c r="D899" s="2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2"/>
      <c r="D900" s="2"/>
      <c r="E900" s="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2"/>
      <c r="D901" s="2"/>
      <c r="E901" s="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2"/>
      <c r="D902" s="2"/>
      <c r="E902" s="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2"/>
      <c r="D903" s="2"/>
      <c r="E903" s="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2"/>
      <c r="D904" s="2"/>
      <c r="E904" s="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2"/>
      <c r="D905" s="2"/>
      <c r="E905" s="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2"/>
      <c r="D906" s="2"/>
      <c r="E906" s="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2"/>
      <c r="D907" s="2"/>
      <c r="E907" s="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2"/>
      <c r="D908" s="2"/>
      <c r="E908" s="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2"/>
      <c r="D909" s="2"/>
      <c r="E909" s="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2"/>
      <c r="D910" s="2"/>
      <c r="E910" s="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2"/>
      <c r="D911" s="2"/>
      <c r="E911" s="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2"/>
      <c r="D912" s="2"/>
      <c r="E912" s="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2"/>
      <c r="D913" s="2"/>
      <c r="E913" s="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2"/>
      <c r="D914" s="2"/>
      <c r="E914" s="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2"/>
      <c r="D915" s="2"/>
      <c r="E915" s="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2"/>
      <c r="D916" s="2"/>
      <c r="E916" s="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2"/>
      <c r="D917" s="2"/>
      <c r="E917" s="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2"/>
      <c r="D918" s="2"/>
      <c r="E918" s="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2"/>
      <c r="D919" s="2"/>
      <c r="E919" s="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2"/>
      <c r="D920" s="2"/>
      <c r="E920" s="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2"/>
      <c r="D921" s="2"/>
      <c r="E921" s="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2"/>
      <c r="D922" s="2"/>
      <c r="E922" s="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2"/>
      <c r="D923" s="2"/>
      <c r="E923" s="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2"/>
      <c r="D924" s="2"/>
      <c r="E924" s="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2"/>
      <c r="D925" s="2"/>
      <c r="E925" s="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2"/>
      <c r="D926" s="2"/>
      <c r="E926" s="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2"/>
      <c r="D927" s="2"/>
      <c r="E927" s="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2"/>
      <c r="D928" s="2"/>
      <c r="E928" s="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2"/>
      <c r="D929" s="2"/>
      <c r="E929" s="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2"/>
      <c r="D930" s="2"/>
      <c r="E930" s="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2"/>
      <c r="D931" s="2"/>
      <c r="E931" s="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2"/>
      <c r="D932" s="2"/>
      <c r="E932" s="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2"/>
      <c r="D933" s="2"/>
      <c r="E933" s="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2"/>
      <c r="D934" s="2"/>
      <c r="E934" s="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2"/>
      <c r="D935" s="2"/>
      <c r="E935" s="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2"/>
      <c r="D936" s="2"/>
      <c r="E936" s="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2"/>
      <c r="D937" s="2"/>
      <c r="E937" s="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2"/>
      <c r="D938" s="2"/>
      <c r="E938" s="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2"/>
      <c r="D939" s="2"/>
      <c r="E939" s="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2"/>
      <c r="D940" s="2"/>
      <c r="E940" s="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2"/>
      <c r="D941" s="2"/>
      <c r="E941" s="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2"/>
      <c r="D942" s="2"/>
      <c r="E942" s="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2"/>
      <c r="D943" s="2"/>
      <c r="E943" s="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2"/>
      <c r="D944" s="2"/>
      <c r="E944" s="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2"/>
      <c r="D945" s="2"/>
      <c r="E945" s="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2"/>
      <c r="D946" s="2"/>
      <c r="E946" s="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2"/>
      <c r="D947" s="2"/>
      <c r="E947" s="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2"/>
      <c r="D948" s="2"/>
      <c r="E948" s="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2"/>
      <c r="D949" s="2"/>
      <c r="E949" s="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2"/>
      <c r="D950" s="2"/>
      <c r="E950" s="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2"/>
      <c r="D951" s="2"/>
      <c r="E951" s="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2"/>
      <c r="D952" s="2"/>
      <c r="E952" s="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2"/>
      <c r="D953" s="2"/>
      <c r="E953" s="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2"/>
      <c r="D954" s="2"/>
      <c r="E954" s="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2"/>
      <c r="D955" s="2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2"/>
      <c r="D956" s="2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2"/>
      <c r="D957" s="2"/>
      <c r="E957" s="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2"/>
      <c r="D958" s="2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2"/>
      <c r="D959" s="2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2"/>
      <c r="D960" s="2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2"/>
      <c r="D961" s="2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2"/>
      <c r="D962" s="2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2"/>
      <c r="D963" s="2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2"/>
      <c r="D964" s="2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2"/>
      <c r="D965" s="2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2"/>
      <c r="D966" s="2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2"/>
      <c r="D967" s="2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2"/>
      <c r="D968" s="2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2"/>
      <c r="D969" s="2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2"/>
      <c r="D970" s="2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2"/>
      <c r="D971" s="2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2"/>
      <c r="D972" s="2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2"/>
      <c r="D973" s="2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2"/>
      <c r="D974" s="2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2"/>
      <c r="D975" s="2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2"/>
      <c r="D976" s="2"/>
      <c r="E976" s="2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2"/>
      <c r="D977" s="2"/>
      <c r="E977" s="2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2"/>
      <c r="D978" s="2"/>
      <c r="E978" s="2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2"/>
      <c r="D979" s="2"/>
      <c r="E979" s="2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2"/>
      <c r="D980" s="2"/>
      <c r="E980" s="2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2"/>
      <c r="D981" s="2"/>
      <c r="E981" s="2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2"/>
      <c r="D982" s="2"/>
      <c r="E982" s="2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2"/>
      <c r="D983" s="2"/>
      <c r="E983" s="2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2"/>
      <c r="D984" s="2"/>
      <c r="E984" s="2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2"/>
      <c r="D985" s="2"/>
      <c r="E985" s="2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2"/>
      <c r="D986" s="2"/>
      <c r="E986" s="2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2"/>
      <c r="D987" s="2"/>
      <c r="E987" s="2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2"/>
      <c r="D988" s="2"/>
      <c r="E988" s="2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2"/>
      <c r="D989" s="2"/>
      <c r="E989" s="2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2"/>
      <c r="D990" s="2"/>
      <c r="E990" s="2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2"/>
      <c r="D991" s="2"/>
      <c r="E991" s="2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2"/>
      <c r="D992" s="2"/>
      <c r="E992" s="2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2"/>
      <c r="D993" s="2"/>
      <c r="E993" s="2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2"/>
      <c r="D994" s="2"/>
      <c r="E994" s="2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2"/>
      <c r="D995" s="2"/>
      <c r="E995" s="2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2"/>
      <c r="D996" s="2"/>
      <c r="E996" s="2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2"/>
      <c r="D997" s="2"/>
      <c r="E997" s="2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2"/>
      <c r="D998" s="2"/>
      <c r="E998" s="2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2"/>
      <c r="D999" s="2"/>
      <c r="E999" s="2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2"/>
      <c r="D1000" s="2"/>
      <c r="E1000" s="2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2"/>
      <c r="C1001" s="2"/>
      <c r="D1001" s="2"/>
      <c r="E1001" s="2"/>
      <c r="F1001" s="2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2"/>
      <c r="C1002" s="2"/>
      <c r="D1002" s="2"/>
      <c r="E1002" s="2"/>
      <c r="F1002" s="2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2"/>
      <c r="C1003" s="2"/>
      <c r="D1003" s="2"/>
      <c r="E1003" s="2"/>
      <c r="F1003" s="2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2"/>
      <c r="C1004" s="2"/>
      <c r="D1004" s="2"/>
      <c r="E1004" s="2"/>
      <c r="F1004" s="2"/>
      <c r="G1004" s="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2"/>
      <c r="C1005" s="2"/>
      <c r="D1005" s="2"/>
      <c r="E1005" s="2"/>
      <c r="F1005" s="2"/>
      <c r="G1005" s="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2"/>
      <c r="C1006" s="2"/>
      <c r="D1006" s="2"/>
      <c r="E1006" s="2"/>
      <c r="F1006" s="2"/>
      <c r="G1006" s="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>
      <c r="A1007" s="1"/>
      <c r="B1007" s="2"/>
      <c r="C1007" s="2"/>
      <c r="D1007" s="2"/>
      <c r="E1007" s="2"/>
      <c r="F1007" s="2"/>
      <c r="G1007" s="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>
      <c r="A1008" s="1"/>
      <c r="B1008" s="2"/>
      <c r="C1008" s="2"/>
      <c r="D1008" s="2"/>
      <c r="E1008" s="2"/>
      <c r="F1008" s="2"/>
      <c r="G1008" s="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75" customHeight="1">
      <c r="A1009" s="1"/>
      <c r="B1009" s="2"/>
      <c r="C1009" s="2"/>
      <c r="D1009" s="2"/>
      <c r="E1009" s="2"/>
      <c r="F1009" s="2"/>
      <c r="G1009" s="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75" customHeight="1">
      <c r="A1010" s="1"/>
      <c r="B1010" s="2"/>
      <c r="C1010" s="2"/>
      <c r="D1010" s="2"/>
      <c r="E1010" s="2"/>
      <c r="F1010" s="2"/>
      <c r="G1010" s="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2.75" customHeight="1">
      <c r="A1011" s="1"/>
      <c r="B1011" s="2"/>
      <c r="C1011" s="2"/>
      <c r="D1011" s="2"/>
      <c r="E1011" s="2"/>
      <c r="F1011" s="2"/>
      <c r="G1011" s="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2.75" customHeight="1">
      <c r="A1012" s="1"/>
      <c r="B1012" s="2"/>
      <c r="C1012" s="2"/>
      <c r="D1012" s="2"/>
      <c r="E1012" s="2"/>
      <c r="F1012" s="2"/>
      <c r="G1012" s="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2.75" customHeight="1">
      <c r="A1013" s="1"/>
      <c r="B1013" s="2"/>
      <c r="C1013" s="2"/>
      <c r="D1013" s="2"/>
      <c r="E1013" s="2"/>
      <c r="F1013" s="2"/>
      <c r="G1013" s="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2.75" customHeight="1">
      <c r="A1014" s="1"/>
      <c r="B1014" s="2"/>
      <c r="C1014" s="2"/>
      <c r="D1014" s="2"/>
      <c r="E1014" s="2"/>
      <c r="F1014" s="2"/>
      <c r="G1014" s="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2.75" customHeight="1">
      <c r="A1015" s="1"/>
      <c r="B1015" s="2"/>
      <c r="C1015" s="2"/>
      <c r="D1015" s="2"/>
      <c r="E1015" s="2"/>
      <c r="F1015" s="2"/>
      <c r="G1015" s="2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2.75" customHeight="1">
      <c r="A1016" s="1"/>
      <c r="B1016" s="2"/>
      <c r="C1016" s="2"/>
      <c r="D1016" s="2"/>
      <c r="E1016" s="2"/>
      <c r="F1016" s="2"/>
      <c r="G1016" s="2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2.75" customHeight="1">
      <c r="A1017" s="1"/>
      <c r="B1017" s="2"/>
      <c r="C1017" s="2"/>
      <c r="D1017" s="2"/>
      <c r="E1017" s="2"/>
      <c r="F1017" s="2"/>
      <c r="G1017" s="2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2.75" customHeight="1">
      <c r="A1018" s="1"/>
      <c r="B1018" s="2"/>
      <c r="C1018" s="2"/>
      <c r="D1018" s="2"/>
      <c r="E1018" s="2"/>
      <c r="F1018" s="2"/>
      <c r="G1018" s="2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2.75" customHeight="1">
      <c r="A1019" s="1"/>
      <c r="B1019" s="2"/>
      <c r="C1019" s="2"/>
      <c r="D1019" s="2"/>
      <c r="E1019" s="2"/>
      <c r="F1019" s="2"/>
      <c r="G1019" s="2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2.75" customHeight="1">
      <c r="A1020" s="1"/>
      <c r="B1020" s="2"/>
      <c r="C1020" s="2"/>
      <c r="D1020" s="2"/>
      <c r="E1020" s="2"/>
      <c r="F1020" s="2"/>
      <c r="G1020" s="2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2.75" customHeight="1">
      <c r="A1021" s="1"/>
      <c r="B1021" s="2"/>
      <c r="C1021" s="2"/>
      <c r="D1021" s="2"/>
      <c r="E1021" s="2"/>
      <c r="F1021" s="2"/>
      <c r="G1021" s="2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</sheetData>
  <printOptions/>
  <pageMargins bottom="0.75" footer="0.0" header="0.0" left="0.7" right="0.7" top="0.75"/>
  <pageSetup orientation="landscape"/>
  <headerFoot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9.13"/>
    <col customWidth="1" min="3" max="3" width="10.13"/>
    <col customWidth="1" min="4" max="4" width="6.63"/>
    <col customWidth="1" min="5" max="5" width="18.13"/>
    <col customWidth="1" min="6" max="6" width="9.38"/>
    <col customWidth="1" min="7" max="26" width="10.0"/>
  </cols>
  <sheetData>
    <row r="1" ht="12.75" customHeight="1">
      <c r="A1" s="25" t="s">
        <v>830</v>
      </c>
    </row>
    <row r="2" ht="12.75" customHeight="1"/>
    <row r="3" ht="12.75" customHeight="1">
      <c r="B3" s="26" t="s">
        <v>831</v>
      </c>
      <c r="C3" s="27"/>
      <c r="F3" s="26" t="s">
        <v>153</v>
      </c>
      <c r="G3" s="27"/>
    </row>
    <row r="4" ht="12.75" customHeight="1">
      <c r="A4" s="25"/>
      <c r="B4" s="28" t="s">
        <v>832</v>
      </c>
      <c r="C4" s="28" t="s">
        <v>833</v>
      </c>
      <c r="F4" s="29" t="s">
        <v>832</v>
      </c>
      <c r="G4" s="29" t="s">
        <v>833</v>
      </c>
    </row>
    <row r="5" ht="12.75" customHeight="1">
      <c r="A5" s="30" t="s">
        <v>834</v>
      </c>
      <c r="B5" s="28">
        <v>10.0</v>
      </c>
      <c r="C5" s="28">
        <f t="shared" ref="C5:C9" si="1">B5*10</f>
        <v>100</v>
      </c>
      <c r="E5" s="30" t="s">
        <v>834</v>
      </c>
      <c r="F5" s="28">
        <v>10.0</v>
      </c>
      <c r="G5" s="28">
        <f t="shared" ref="G5:G13" si="2">F5*10</f>
        <v>100</v>
      </c>
    </row>
    <row r="6" ht="12.75" customHeight="1">
      <c r="A6" s="30" t="s">
        <v>835</v>
      </c>
      <c r="B6" s="28">
        <v>0.5</v>
      </c>
      <c r="C6" s="28">
        <f t="shared" si="1"/>
        <v>5</v>
      </c>
      <c r="E6" s="30" t="s">
        <v>836</v>
      </c>
      <c r="F6" s="28">
        <v>0.1</v>
      </c>
      <c r="G6" s="28">
        <f t="shared" si="2"/>
        <v>1</v>
      </c>
    </row>
    <row r="7" ht="12.75" customHeight="1">
      <c r="A7" s="30" t="s">
        <v>837</v>
      </c>
      <c r="B7" s="28">
        <v>0.1</v>
      </c>
      <c r="C7" s="28">
        <f t="shared" si="1"/>
        <v>1</v>
      </c>
      <c r="E7" s="30" t="s">
        <v>838</v>
      </c>
      <c r="F7" s="28">
        <v>0.1</v>
      </c>
      <c r="G7" s="28">
        <f t="shared" si="2"/>
        <v>1</v>
      </c>
    </row>
    <row r="8" ht="12.75" customHeight="1">
      <c r="A8" s="30" t="s">
        <v>839</v>
      </c>
      <c r="B8" s="28">
        <v>22.0</v>
      </c>
      <c r="C8" s="28">
        <f t="shared" si="1"/>
        <v>220</v>
      </c>
      <c r="E8" s="30" t="s">
        <v>840</v>
      </c>
      <c r="F8" s="28">
        <v>0.4</v>
      </c>
      <c r="G8" s="28">
        <f t="shared" si="2"/>
        <v>4</v>
      </c>
    </row>
    <row r="9" ht="12.75" customHeight="1">
      <c r="A9" s="30" t="s">
        <v>841</v>
      </c>
      <c r="B9" s="28">
        <v>5.0</v>
      </c>
      <c r="C9" s="28">
        <f t="shared" si="1"/>
        <v>50</v>
      </c>
      <c r="E9" s="30" t="s">
        <v>842</v>
      </c>
      <c r="F9" s="28">
        <v>0.8</v>
      </c>
      <c r="G9" s="28">
        <f t="shared" si="2"/>
        <v>8</v>
      </c>
    </row>
    <row r="10" ht="12.75" customHeight="1">
      <c r="A10" s="30" t="s">
        <v>843</v>
      </c>
      <c r="B10" s="30"/>
      <c r="C10" s="30"/>
      <c r="E10" s="30" t="s">
        <v>837</v>
      </c>
      <c r="F10" s="28">
        <v>0.05</v>
      </c>
      <c r="G10" s="28">
        <f t="shared" si="2"/>
        <v>0.5</v>
      </c>
    </row>
    <row r="11" ht="12.75" customHeight="1">
      <c r="A11" s="25"/>
      <c r="E11" s="30" t="s">
        <v>844</v>
      </c>
      <c r="F11" s="28">
        <v>20.0</v>
      </c>
      <c r="G11" s="28">
        <f t="shared" si="2"/>
        <v>200</v>
      </c>
    </row>
    <row r="12" ht="12.75" customHeight="1">
      <c r="E12" s="30" t="s">
        <v>839</v>
      </c>
      <c r="F12" s="28">
        <v>22.0</v>
      </c>
      <c r="G12" s="28">
        <f t="shared" si="2"/>
        <v>220</v>
      </c>
    </row>
    <row r="13" ht="12.75" customHeight="1">
      <c r="E13" s="30" t="s">
        <v>841</v>
      </c>
      <c r="F13" s="28">
        <v>5.0</v>
      </c>
      <c r="G13" s="28">
        <f t="shared" si="2"/>
        <v>50</v>
      </c>
    </row>
    <row r="14" ht="12.75" customHeight="1"/>
    <row r="15" ht="12.75" customHeight="1">
      <c r="A15" s="31" t="s">
        <v>845</v>
      </c>
    </row>
    <row r="16" ht="12.75" customHeight="1"/>
    <row r="17" ht="12.75" customHeight="1">
      <c r="A17" s="30" t="s">
        <v>834</v>
      </c>
      <c r="B17" s="28">
        <f>+C5+G5</f>
        <v>200</v>
      </c>
      <c r="C17" s="28">
        <f>+B17/25</f>
        <v>8</v>
      </c>
      <c r="D17" s="31" t="s">
        <v>846</v>
      </c>
    </row>
    <row r="18" ht="12.75" customHeight="1">
      <c r="A18" s="30" t="s">
        <v>835</v>
      </c>
      <c r="B18" s="28">
        <f>C6</f>
        <v>5</v>
      </c>
      <c r="C18" s="28"/>
    </row>
    <row r="19" ht="12.75" customHeight="1">
      <c r="A19" s="30" t="s">
        <v>847</v>
      </c>
      <c r="B19" s="28">
        <f t="shared" ref="B19:B20" si="3">G8</f>
        <v>4</v>
      </c>
      <c r="C19" s="28"/>
    </row>
    <row r="20" ht="12.75" customHeight="1">
      <c r="A20" s="30" t="s">
        <v>848</v>
      </c>
      <c r="B20" s="28">
        <f t="shared" si="3"/>
        <v>8</v>
      </c>
      <c r="C20" s="28"/>
    </row>
    <row r="21" ht="12.75" customHeight="1">
      <c r="A21" s="30" t="s">
        <v>838</v>
      </c>
      <c r="B21" s="28">
        <f>G7</f>
        <v>1</v>
      </c>
      <c r="C21" s="28"/>
    </row>
    <row r="22" ht="12.75" customHeight="1">
      <c r="A22" s="30" t="s">
        <v>837</v>
      </c>
      <c r="B22" s="28">
        <f>+C7+G10</f>
        <v>1.5</v>
      </c>
      <c r="C22" s="28">
        <v>2.0</v>
      </c>
      <c r="D22" s="31" t="s">
        <v>849</v>
      </c>
    </row>
    <row r="23" ht="12.75" customHeight="1">
      <c r="A23" s="30" t="s">
        <v>844</v>
      </c>
      <c r="B23" s="28">
        <f>G11</f>
        <v>200</v>
      </c>
      <c r="C23" s="28"/>
    </row>
    <row r="24" ht="12.75" customHeight="1">
      <c r="A24" s="30" t="s">
        <v>839</v>
      </c>
      <c r="B24" s="28">
        <f>+C8+G12</f>
        <v>440</v>
      </c>
      <c r="C24" s="28">
        <v>40.0</v>
      </c>
      <c r="D24" s="31" t="s">
        <v>850</v>
      </c>
    </row>
    <row r="25" ht="12.75" customHeight="1">
      <c r="A25" s="30" t="s">
        <v>841</v>
      </c>
      <c r="B25" s="28">
        <f>C9</f>
        <v>50</v>
      </c>
      <c r="C25" s="28"/>
    </row>
    <row r="26" ht="12.75" customHeight="1">
      <c r="A26" s="30" t="s">
        <v>836</v>
      </c>
      <c r="B26" s="28">
        <f>G6</f>
        <v>1</v>
      </c>
      <c r="C26" s="28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3:C3"/>
    <mergeCell ref="F3:G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2007-09-10T04:20:24Z</dcterms:created>
  <dc:creator>Rojas-Ross</dc:creator>
</cp:coreProperties>
</file>